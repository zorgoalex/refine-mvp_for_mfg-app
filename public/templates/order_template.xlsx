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WORK\CNC_Milling\WORK_CNC\SOFT\ProjectDB\CRM\UI_ERP\React-Admin\front_Refine_v1\public\templates\"/>
    </mc:Choice>
  </mc:AlternateContent>
  <xr:revisionPtr revIDLastSave="0" documentId="13_ncr:1_{97363F81-ABCC-47FD-9DCA-8AAC1803661A}" xr6:coauthVersionLast="47" xr6:coauthVersionMax="47" xr10:uidLastSave="{00000000-0000-0000-0000-000000000000}"/>
  <bookViews>
    <workbookView xWindow="3900" yWindow="1635" windowWidth="17460" windowHeight="19965" xr2:uid="{00000000-000D-0000-FFFF-FFFF00000000}"/>
  </bookViews>
  <sheets>
    <sheet name="Заказ" sheetId="1" r:id="rId1"/>
    <sheet name="Списки" sheetId="2" r:id="rId2"/>
    <sheet name="Лист3" sheetId="3" r:id="rId3"/>
  </sheets>
  <definedNames>
    <definedName name="МДФ">Заказ!$AK$82:$AK$86</definedName>
    <definedName name="обкат">Списки!$C$2:$C$5</definedName>
    <definedName name="_xlnm.Print_Area" localSheetId="0">Заказ!$A$1:$M$82</definedName>
    <definedName name="пленка">Списки!$E$2:$E$34</definedName>
    <definedName name="тип_детали">Списки!$A$2:$A$28</definedName>
    <definedName name="фасад">Заказ!$AI$1:$AJ$5</definedName>
    <definedName name="фрезеровка">Заказ!$A$5</definedName>
    <definedName name="цена_кв_м">#REF!</definedName>
  </definedNames>
  <calcPr calcId="191029"/>
</workbook>
</file>

<file path=xl/calcChain.xml><?xml version="1.0" encoding="utf-8"?>
<calcChain xmlns="http://schemas.openxmlformats.org/spreadsheetml/2006/main">
  <c r="E51" i="1" l="1"/>
  <c r="J51" i="1" s="1"/>
  <c r="E52" i="1"/>
  <c r="J52" i="1" s="1"/>
  <c r="E53" i="1"/>
  <c r="J53" i="1" s="1"/>
  <c r="E54" i="1"/>
  <c r="J54" i="1" s="1"/>
  <c r="E55" i="1"/>
  <c r="E56" i="1"/>
  <c r="E57" i="1"/>
  <c r="E58" i="1"/>
  <c r="E59" i="1"/>
  <c r="E60" i="1"/>
  <c r="E61" i="1"/>
  <c r="E62" i="1"/>
  <c r="E63" i="1"/>
  <c r="E64" i="1"/>
  <c r="E65" i="1"/>
  <c r="E66" i="1"/>
  <c r="J55" i="1"/>
  <c r="J56" i="1"/>
  <c r="J57" i="1"/>
  <c r="J58" i="1"/>
  <c r="J59" i="1"/>
  <c r="J60" i="1"/>
  <c r="J61" i="1"/>
  <c r="J62" i="1"/>
  <c r="J63" i="1"/>
  <c r="J64" i="1"/>
  <c r="J65" i="1"/>
  <c r="J66" i="1"/>
  <c r="U43" i="1"/>
  <c r="W43" i="1" s="1"/>
  <c r="Y43" i="1"/>
  <c r="Z43" i="1"/>
  <c r="U44" i="1"/>
  <c r="V44" i="1" s="1"/>
  <c r="Y44" i="1"/>
  <c r="Z44" i="1"/>
  <c r="U45" i="1"/>
  <c r="V45" i="1" s="1"/>
  <c r="Y45" i="1"/>
  <c r="Z45" i="1"/>
  <c r="U46" i="1"/>
  <c r="V46" i="1" s="1"/>
  <c r="Y46" i="1"/>
  <c r="Z46" i="1"/>
  <c r="U47" i="1"/>
  <c r="W47" i="1" s="1"/>
  <c r="Y47" i="1"/>
  <c r="Z47" i="1"/>
  <c r="U48" i="1"/>
  <c r="V48" i="1" s="1"/>
  <c r="Y48" i="1"/>
  <c r="Z48" i="1"/>
  <c r="U49" i="1"/>
  <c r="W49" i="1" s="1"/>
  <c r="Y49" i="1"/>
  <c r="Z49" i="1"/>
  <c r="U50" i="1"/>
  <c r="V50" i="1" s="1"/>
  <c r="Y50" i="1"/>
  <c r="Z50" i="1"/>
  <c r="U51" i="1"/>
  <c r="W51" i="1" s="1"/>
  <c r="Y51" i="1"/>
  <c r="Z51" i="1"/>
  <c r="U52" i="1"/>
  <c r="V52" i="1" s="1"/>
  <c r="Y52" i="1"/>
  <c r="Z52" i="1"/>
  <c r="V49" i="1" l="1"/>
  <c r="W50" i="1"/>
  <c r="W46" i="1"/>
  <c r="W45" i="1"/>
  <c r="V51" i="1"/>
  <c r="V47" i="1"/>
  <c r="V43" i="1"/>
  <c r="W52" i="1"/>
  <c r="W44" i="1"/>
  <c r="W48" i="1"/>
  <c r="M8" i="1"/>
  <c r="E43" i="1"/>
  <c r="J43" i="1" s="1"/>
  <c r="E44" i="1"/>
  <c r="J44" i="1" s="1"/>
  <c r="E45" i="1"/>
  <c r="J45" i="1" s="1"/>
  <c r="E46" i="1"/>
  <c r="J46" i="1" s="1"/>
  <c r="E47" i="1"/>
  <c r="J47" i="1" s="1"/>
  <c r="E48" i="1"/>
  <c r="J48" i="1" s="1"/>
  <c r="E49" i="1"/>
  <c r="J49" i="1" s="1"/>
  <c r="E50" i="1"/>
  <c r="J50" i="1" s="1"/>
  <c r="U12" i="1"/>
  <c r="W12" i="1" s="1"/>
  <c r="U13" i="1"/>
  <c r="V13" i="1" s="1"/>
  <c r="U14" i="1"/>
  <c r="W14" i="1" s="1"/>
  <c r="U15" i="1"/>
  <c r="V15" i="1" s="1"/>
  <c r="U16" i="1"/>
  <c r="V16" i="1" s="1"/>
  <c r="U17" i="1"/>
  <c r="V17" i="1" s="1"/>
  <c r="U18" i="1"/>
  <c r="W18" i="1" s="1"/>
  <c r="U19" i="1"/>
  <c r="W19" i="1" s="1"/>
  <c r="U20" i="1"/>
  <c r="W20" i="1" s="1"/>
  <c r="U11" i="1"/>
  <c r="U21" i="1"/>
  <c r="V21" i="1" s="1"/>
  <c r="U22" i="1"/>
  <c r="W22" i="1" s="1"/>
  <c r="U23" i="1"/>
  <c r="V23" i="1" s="1"/>
  <c r="U24" i="1"/>
  <c r="V24" i="1" s="1"/>
  <c r="U25" i="1"/>
  <c r="W25" i="1" s="1"/>
  <c r="U26" i="1"/>
  <c r="V26" i="1" s="1"/>
  <c r="U27" i="1"/>
  <c r="V27" i="1" s="1"/>
  <c r="U28" i="1"/>
  <c r="V28" i="1" s="1"/>
  <c r="U29" i="1"/>
  <c r="V29" i="1" s="1"/>
  <c r="U30" i="1"/>
  <c r="V30" i="1" s="1"/>
  <c r="U31" i="1"/>
  <c r="V31" i="1" s="1"/>
  <c r="U32" i="1"/>
  <c r="V32" i="1" s="1"/>
  <c r="U33" i="1"/>
  <c r="W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40" i="1"/>
  <c r="V40" i="1" s="1"/>
  <c r="U41" i="1"/>
  <c r="W41" i="1" s="1"/>
  <c r="U42" i="1"/>
  <c r="V42" i="1" s="1"/>
  <c r="T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W40" i="1" l="1"/>
  <c r="W32" i="1"/>
  <c r="W39" i="1"/>
  <c r="W31" i="1"/>
  <c r="V41" i="1"/>
  <c r="V33" i="1"/>
  <c r="W38" i="1"/>
  <c r="W30" i="1"/>
  <c r="W37" i="1"/>
  <c r="W29" i="1"/>
  <c r="W36" i="1"/>
  <c r="W28" i="1"/>
  <c r="W35" i="1"/>
  <c r="W27" i="1"/>
  <c r="W42" i="1"/>
  <c r="W34" i="1"/>
  <c r="W26" i="1"/>
  <c r="W24" i="1"/>
  <c r="V20" i="1"/>
  <c r="V19" i="1"/>
  <c r="V22" i="1"/>
  <c r="W23" i="1"/>
  <c r="W21" i="1"/>
  <c r="W17" i="1"/>
  <c r="V18" i="1"/>
  <c r="V25" i="1"/>
  <c r="W16" i="1"/>
  <c r="W15" i="1"/>
  <c r="V14" i="1"/>
  <c r="W13" i="1"/>
  <c r="V12" i="1"/>
  <c r="Z12" i="1"/>
  <c r="Y12" i="1"/>
  <c r="Y5" i="1"/>
  <c r="E15" i="1" l="1"/>
  <c r="E42" i="1" l="1"/>
  <c r="E13" i="1"/>
  <c r="E14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12" i="1"/>
  <c r="K8" i="1" l="1"/>
  <c r="J41" i="1"/>
  <c r="J42" i="1"/>
  <c r="J31" i="1"/>
  <c r="J32" i="1"/>
  <c r="J33" i="1"/>
  <c r="J34" i="1"/>
  <c r="J35" i="1"/>
  <c r="J36" i="1"/>
  <c r="J37" i="1"/>
  <c r="J38" i="1"/>
  <c r="J39" i="1"/>
  <c r="J40" i="1"/>
  <c r="J27" i="1"/>
  <c r="J28" i="1"/>
  <c r="J29" i="1"/>
  <c r="J30" i="1"/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12" i="1" l="1"/>
  <c r="J2" i="1" s="1"/>
  <c r="L2" i="1" l="1"/>
  <c r="K4" i="1" s="1"/>
</calcChain>
</file>

<file path=xl/sharedStrings.xml><?xml version="1.0" encoding="utf-8"?>
<sst xmlns="http://schemas.openxmlformats.org/spreadsheetml/2006/main" count="109" uniqueCount="104">
  <si>
    <t>Заказчик</t>
  </si>
  <si>
    <t>Высота</t>
  </si>
  <si>
    <t>Ширина</t>
  </si>
  <si>
    <t>Кол-во</t>
  </si>
  <si>
    <t>Площадь</t>
  </si>
  <si>
    <t>Цена за кв.м.</t>
  </si>
  <si>
    <t>Тип детали</t>
  </si>
  <si>
    <t>Сумма</t>
  </si>
  <si>
    <t>№</t>
  </si>
  <si>
    <t>фрезеровка</t>
  </si>
  <si>
    <t>пленка</t>
  </si>
  <si>
    <t>остаток оплаты</t>
  </si>
  <si>
    <t>обкат</t>
  </si>
  <si>
    <t>общая сумма</t>
  </si>
  <si>
    <t>С техническими и технологическими особенностями ознакомлен, количество и размеры верны</t>
  </si>
  <si>
    <t>(фамилия)</t>
  </si>
  <si>
    <t>(подпись)</t>
  </si>
  <si>
    <t>общая площадь</t>
  </si>
  <si>
    <t>кол-во деталей</t>
  </si>
  <si>
    <t>Техникалық және технологиялық ерекшелерімен таныстым, саны және өлшемі дұрыс</t>
  </si>
  <si>
    <t>Дата</t>
  </si>
  <si>
    <t>срок выполнения</t>
  </si>
  <si>
    <t>бетон пайн</t>
  </si>
  <si>
    <t>лабиринт</t>
  </si>
  <si>
    <t>выборка</t>
  </si>
  <si>
    <t>мелкая лапша</t>
  </si>
  <si>
    <t>средняя лапша</t>
  </si>
  <si>
    <t>крупная лапша</t>
  </si>
  <si>
    <t>квадро</t>
  </si>
  <si>
    <t>квадро без полоски</t>
  </si>
  <si>
    <t>геом по фото</t>
  </si>
  <si>
    <t>витрина</t>
  </si>
  <si>
    <t>симметрия</t>
  </si>
  <si>
    <t>неоклассика</t>
  </si>
  <si>
    <t>лапша-птичка</t>
  </si>
  <si>
    <t>модерн</t>
  </si>
  <si>
    <t>Обкат</t>
  </si>
  <si>
    <t>ступень</t>
  </si>
  <si>
    <t>Пленка</t>
  </si>
  <si>
    <t>выборка-3ступени</t>
  </si>
  <si>
    <t>выборка-2ступени</t>
  </si>
  <si>
    <t xml:space="preserve">талгар Кира </t>
  </si>
  <si>
    <t xml:space="preserve">Лайт молоко Кира </t>
  </si>
  <si>
    <t xml:space="preserve">Софт шитаке </t>
  </si>
  <si>
    <t xml:space="preserve">витрина по фото </t>
  </si>
  <si>
    <t>квадро по фото</t>
  </si>
  <si>
    <t xml:space="preserve">Софт шитаке Алимжан </t>
  </si>
  <si>
    <t>Белый снег</t>
  </si>
  <si>
    <t xml:space="preserve">Софт сафари Алимжан </t>
  </si>
  <si>
    <t>Белоснежный глянец Декор</t>
  </si>
  <si>
    <t xml:space="preserve">Белая матовая Алия </t>
  </si>
  <si>
    <t xml:space="preserve">Беж нубук Алия </t>
  </si>
  <si>
    <t>ХДФ</t>
  </si>
  <si>
    <t>высота</t>
  </si>
  <si>
    <t>ширина</t>
  </si>
  <si>
    <t>проверка на слово "выборка" и "выборка-2ступени"</t>
  </si>
  <si>
    <t xml:space="preserve">Белый глянец холодный Емс </t>
  </si>
  <si>
    <t xml:space="preserve">Софт Грей Алимжан </t>
  </si>
  <si>
    <t>Шагрень кварц</t>
  </si>
  <si>
    <t xml:space="preserve">Шагрень молоко </t>
  </si>
  <si>
    <t xml:space="preserve">Палома </t>
  </si>
  <si>
    <t>Сантияго</t>
  </si>
  <si>
    <t xml:space="preserve">черновой </t>
  </si>
  <si>
    <t xml:space="preserve">Софт кирпичный Алимжан </t>
  </si>
  <si>
    <t xml:space="preserve">Орех американский классик </t>
  </si>
  <si>
    <t xml:space="preserve">Светло серый Алимжан </t>
  </si>
  <si>
    <t xml:space="preserve">Сантияго Декор </t>
  </si>
  <si>
    <t xml:space="preserve">Аконит Алия </t>
  </si>
  <si>
    <t xml:space="preserve">Атлантик софт Гульсум </t>
  </si>
  <si>
    <t xml:space="preserve">Милк софт Гульсум </t>
  </si>
  <si>
    <t xml:space="preserve">милк софт Алия </t>
  </si>
  <si>
    <t xml:space="preserve">Лотос Кира </t>
  </si>
  <si>
    <t xml:space="preserve">Аконит  Кира </t>
  </si>
  <si>
    <t xml:space="preserve">капучино мат Алия </t>
  </si>
  <si>
    <t xml:space="preserve">Мелисандра </t>
  </si>
  <si>
    <t xml:space="preserve">Айвори Гульсум </t>
  </si>
  <si>
    <t>Голубое дерево ЕМС</t>
  </si>
  <si>
    <t xml:space="preserve">Магнолия Кира </t>
  </si>
  <si>
    <t xml:space="preserve">Беж Нобук Алимжан </t>
  </si>
  <si>
    <t xml:space="preserve">Пепельно-зеленый Алия </t>
  </si>
  <si>
    <t>Ребро</t>
  </si>
  <si>
    <t>скидкамен</t>
  </si>
  <si>
    <t>р-1.</t>
  </si>
  <si>
    <t>р-2.</t>
  </si>
  <si>
    <t>р-3.</t>
  </si>
  <si>
    <t>Дата
оплаты</t>
  </si>
  <si>
    <t>Сумма
оплаты</t>
  </si>
  <si>
    <t>скидка</t>
  </si>
  <si>
    <t>риф 15-4</t>
  </si>
  <si>
    <t>риф 15-3</t>
  </si>
  <si>
    <t>риф 8-3</t>
  </si>
  <si>
    <t>неоклассика-ребро30</t>
  </si>
  <si>
    <t>неоклассика-ребро40</t>
  </si>
  <si>
    <t>неоклассика-ребро10</t>
  </si>
  <si>
    <t>неоклассика-ребро50</t>
  </si>
  <si>
    <t>Дата выдачи</t>
  </si>
  <si>
    <t>Тип оплаты</t>
  </si>
  <si>
    <t>квадро-С</t>
  </si>
  <si>
    <t xml:space="preserve">Примечание </t>
  </si>
  <si>
    <t xml:space="preserve">Пленка </t>
  </si>
  <si>
    <t>-</t>
  </si>
  <si>
    <t>№ присадки</t>
  </si>
  <si>
    <t>квадро люкс</t>
  </si>
  <si>
    <t>При отсутствии размеров фрезеровки от заказчика все размеры на усмотрение исполнителя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</si>
</sst>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₸&quot;_-;\-* #,##0.00\ &quot;₸&quot;_-;_-* &quot;-&quot;??\ &quot;₸&quot;_-;_-@_-"/>
    <numFmt numFmtId="164" formatCode="_-* #,##0.00\ _₽_-;\-* #,##0.00\ _₽_-;_-* &quot;-&quot;??\ _₽_-;_-@_-"/>
    <numFmt numFmtId="165" formatCode="#,##0_р_."/>
    <numFmt numFmtId="166" formatCode="#,##0\ [$KZT]"/>
  </numFmts>
  <fonts count="3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7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6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i/>
      <u/>
      <sz val="9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top" textRotation="180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textRotation="180"/>
    </xf>
    <xf numFmtId="0" fontId="1" fillId="0" borderId="0" xfId="0" applyFont="1" applyAlignment="1">
      <alignment vertical="center"/>
    </xf>
    <xf numFmtId="3" fontId="0" fillId="0" borderId="0" xfId="0" applyNumberFormat="1"/>
    <xf numFmtId="0" fontId="0" fillId="0" borderId="6" xfId="0" applyBorder="1"/>
    <xf numFmtId="0" fontId="0" fillId="0" borderId="1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8" fillId="0" borderId="0" xfId="1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5" fillId="0" borderId="1" xfId="0" applyFont="1" applyBorder="1" applyAlignment="1">
      <alignment horizontal="left" vertical="center"/>
    </xf>
    <xf numFmtId="0" fontId="0" fillId="0" borderId="15" xfId="0" applyBorder="1"/>
    <xf numFmtId="164" fontId="17" fillId="0" borderId="1" xfId="2" applyFont="1" applyBorder="1" applyAlignment="1">
      <alignment horizontal="center" vertical="center" wrapText="1"/>
    </xf>
    <xf numFmtId="164" fontId="17" fillId="0" borderId="1" xfId="2" applyFont="1" applyBorder="1" applyAlignment="1">
      <alignment horizontal="center" vertical="center"/>
    </xf>
    <xf numFmtId="164" fontId="4" fillId="0" borderId="0" xfId="2" applyFont="1" applyAlignment="1">
      <alignment horizontal="center" vertical="center"/>
    </xf>
    <xf numFmtId="164" fontId="4" fillId="0" borderId="0" xfId="2" applyFont="1"/>
    <xf numFmtId="166" fontId="0" fillId="0" borderId="0" xfId="0" applyNumberFormat="1" applyAlignment="1">
      <alignment horizontal="center" vertical="center"/>
    </xf>
    <xf numFmtId="164" fontId="18" fillId="0" borderId="1" xfId="2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7" fillId="0" borderId="0" xfId="2" applyFont="1" applyBorder="1" applyAlignment="1">
      <alignment horizontal="center" vertical="center"/>
    </xf>
    <xf numFmtId="164" fontId="17" fillId="0" borderId="0" xfId="2" applyFont="1" applyAlignment="1">
      <alignment horizontal="center" vertical="center"/>
    </xf>
    <xf numFmtId="0" fontId="17" fillId="0" borderId="0" xfId="0" applyFont="1" applyAlignment="1">
      <alignment horizontal="center" vertical="top"/>
    </xf>
    <xf numFmtId="164" fontId="17" fillId="0" borderId="0" xfId="2" applyFont="1" applyBorder="1" applyAlignment="1">
      <alignment horizontal="center" vertical="top"/>
    </xf>
    <xf numFmtId="0" fontId="17" fillId="0" borderId="0" xfId="0" applyFont="1" applyAlignment="1">
      <alignment vertical="center"/>
    </xf>
    <xf numFmtId="164" fontId="17" fillId="0" borderId="0" xfId="2" applyFont="1" applyAlignment="1">
      <alignment vertical="center"/>
    </xf>
    <xf numFmtId="164" fontId="0" fillId="0" borderId="1" xfId="2" applyFon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180" wrapText="1"/>
    </xf>
    <xf numFmtId="0" fontId="26" fillId="0" borderId="0" xfId="0" applyFont="1" applyAlignment="1">
      <alignment vertical="center"/>
    </xf>
    <xf numFmtId="164" fontId="27" fillId="0" borderId="1" xfId="2" applyFont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166" fontId="16" fillId="3" borderId="1" xfId="1" applyNumberFormat="1" applyFont="1" applyFill="1" applyBorder="1" applyAlignment="1">
      <alignment horizontal="center" vertical="center" wrapText="1"/>
    </xf>
    <xf numFmtId="166" fontId="16" fillId="3" borderId="1" xfId="1" applyNumberFormat="1" applyFont="1" applyFill="1" applyBorder="1" applyAlignment="1">
      <alignment horizontal="center" vertical="center"/>
    </xf>
    <xf numFmtId="164" fontId="16" fillId="3" borderId="1" xfId="2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166" fontId="8" fillId="0" borderId="1" xfId="1" applyNumberFormat="1" applyFont="1" applyBorder="1" applyAlignment="1">
      <alignment horizontal="center" vertical="center"/>
    </xf>
    <xf numFmtId="166" fontId="8" fillId="0" borderId="12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166" fontId="5" fillId="0" borderId="0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3" fontId="30" fillId="0" borderId="5" xfId="0" applyNumberFormat="1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0" borderId="2" xfId="0" applyFont="1" applyBorder="1" applyAlignment="1">
      <alignment horizontal="center" vertical="center"/>
    </xf>
  </cellXfs>
  <cellStyles count="4">
    <cellStyle name="Денежный" xfId="1" builtinId="4"/>
    <cellStyle name="Обычный" xfId="0" builtinId="0"/>
    <cellStyle name="Процентный" xfId="3" builtinId="5"/>
    <cellStyle name="Финансовый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A97"/>
  <sheetViews>
    <sheetView tabSelected="1" view="pageBreakPreview" zoomScale="70" zoomScaleNormal="100" zoomScaleSheetLayoutView="70" zoomScalePageLayoutView="85" workbookViewId="0">
      <selection activeCell="D2" sqref="D2:D3"/>
    </sheetView>
  </sheetViews>
  <sheetFormatPr defaultColWidth="9.140625" defaultRowHeight="15" x14ac:dyDescent="0.25"/>
  <cols>
    <col min="1" max="1" width="3.7109375" style="1" customWidth="1"/>
    <col min="2" max="2" width="7.85546875" style="1" customWidth="1"/>
    <col min="3" max="3" width="7.7109375" style="1" customWidth="1"/>
    <col min="4" max="4" width="6.7109375" style="1" customWidth="1"/>
    <col min="5" max="5" width="5.28515625" style="1" customWidth="1"/>
    <col min="6" max="6" width="19.140625" style="1" customWidth="1"/>
    <col min="7" max="7" width="5.28515625" style="1" customWidth="1"/>
    <col min="8" max="8" width="22.7109375" style="1" customWidth="1"/>
    <col min="9" max="9" width="8.28515625" style="1" customWidth="1"/>
    <col min="10" max="10" width="13.28515625" style="1" customWidth="1"/>
    <col min="11" max="11" width="9.28515625" style="1" customWidth="1"/>
    <col min="12" max="12" width="8.28515625" style="1" customWidth="1"/>
    <col min="13" max="13" width="3.7109375" style="1" customWidth="1"/>
    <col min="14" max="14" width="1.7109375" style="1" customWidth="1"/>
    <col min="15" max="15" width="6.7109375" style="1" customWidth="1"/>
    <col min="16" max="16" width="13" style="1" customWidth="1"/>
    <col min="17" max="17" width="13.7109375" style="46" bestFit="1" customWidth="1"/>
    <col min="18" max="20" width="3.7109375" style="1" customWidth="1"/>
    <col min="21" max="24" width="11.85546875" style="1" customWidth="1"/>
    <col min="25" max="16384" width="9.140625" style="1"/>
  </cols>
  <sheetData>
    <row r="1" spans="1:27" ht="13.15" customHeight="1" x14ac:dyDescent="0.25">
      <c r="A1" s="69">
        <v>25</v>
      </c>
      <c r="B1" s="68"/>
      <c r="C1" s="81"/>
      <c r="D1" s="72" t="s">
        <v>101</v>
      </c>
      <c r="E1" s="111" t="s">
        <v>0</v>
      </c>
      <c r="F1" s="111"/>
      <c r="G1" s="111"/>
      <c r="H1" s="111"/>
      <c r="I1" s="111"/>
      <c r="J1" s="115" t="s">
        <v>13</v>
      </c>
      <c r="K1" s="115"/>
      <c r="L1" s="110" t="s">
        <v>81</v>
      </c>
      <c r="M1" s="110"/>
      <c r="N1" s="59"/>
      <c r="P1" s="36" t="s">
        <v>87</v>
      </c>
      <c r="Q1" s="57" t="s">
        <v>95</v>
      </c>
    </row>
    <row r="2" spans="1:27" ht="13.15" customHeight="1" x14ac:dyDescent="0.25">
      <c r="A2" s="68"/>
      <c r="B2" s="68"/>
      <c r="C2" s="81"/>
      <c r="D2" s="132" t="s">
        <v>100</v>
      </c>
      <c r="E2" s="112"/>
      <c r="F2" s="112"/>
      <c r="G2" s="112"/>
      <c r="H2" s="112"/>
      <c r="I2" s="112"/>
      <c r="J2" s="117">
        <f>SUM(J12:J67)</f>
        <v>0</v>
      </c>
      <c r="K2" s="117"/>
      <c r="L2" s="116">
        <f>J2-(J2*P2)</f>
        <v>0</v>
      </c>
      <c r="M2" s="116"/>
      <c r="N2" s="60"/>
      <c r="O2" s="37"/>
      <c r="P2" s="58"/>
      <c r="Q2" s="61"/>
      <c r="R2" s="37"/>
      <c r="S2" s="37"/>
      <c r="T2" s="37"/>
    </row>
    <row r="3" spans="1:27" ht="13.15" customHeight="1" x14ac:dyDescent="0.25">
      <c r="A3" s="68"/>
      <c r="B3" s="68"/>
      <c r="C3" s="82"/>
      <c r="D3" s="133"/>
      <c r="E3" s="112"/>
      <c r="F3" s="112"/>
      <c r="G3" s="112"/>
      <c r="H3" s="112"/>
      <c r="I3" s="112"/>
      <c r="J3" s="117"/>
      <c r="K3" s="117"/>
      <c r="L3" s="116"/>
      <c r="M3" s="116"/>
      <c r="N3" s="60"/>
      <c r="O3" s="37"/>
      <c r="P3" s="48"/>
      <c r="R3" s="37"/>
      <c r="S3" s="37"/>
      <c r="T3" s="37"/>
      <c r="U3" s="35"/>
      <c r="V3" s="35"/>
      <c r="W3" s="35"/>
      <c r="X3" s="35"/>
      <c r="Y3" s="126" t="s">
        <v>55</v>
      </c>
      <c r="Z3" s="127"/>
      <c r="AA3" s="127"/>
    </row>
    <row r="4" spans="1:27" ht="12" customHeight="1" x14ac:dyDescent="0.25">
      <c r="A4" s="89" t="s">
        <v>9</v>
      </c>
      <c r="B4" s="90"/>
      <c r="C4" s="91"/>
      <c r="D4" s="89" t="s">
        <v>12</v>
      </c>
      <c r="E4" s="91"/>
      <c r="F4" s="99" t="s">
        <v>10</v>
      </c>
      <c r="G4" s="100"/>
      <c r="H4" s="99"/>
      <c r="I4" s="100"/>
      <c r="J4" s="78" t="s">
        <v>11</v>
      </c>
      <c r="K4" s="113">
        <f>IF(ISBLANK(L2), (J2-SUM(Q6:Q42)), (L2-SUM(Q6:Q42)))</f>
        <v>0</v>
      </c>
      <c r="L4" s="113"/>
      <c r="M4" s="114"/>
      <c r="N4" s="38"/>
      <c r="O4" s="84" t="s">
        <v>96</v>
      </c>
      <c r="P4" s="84" t="s">
        <v>85</v>
      </c>
      <c r="Q4" s="86" t="s">
        <v>86</v>
      </c>
      <c r="R4" s="38"/>
      <c r="S4" s="38"/>
      <c r="T4" s="38"/>
      <c r="U4" s="35"/>
      <c r="V4" s="35"/>
      <c r="W4" s="35"/>
      <c r="X4" s="35"/>
      <c r="Y4" s="126"/>
      <c r="Z4" s="127"/>
      <c r="AA4" s="127"/>
    </row>
    <row r="5" spans="1:27" ht="12" customHeight="1" thickBot="1" x14ac:dyDescent="0.3">
      <c r="A5" s="92"/>
      <c r="B5" s="93"/>
      <c r="C5" s="93"/>
      <c r="D5" s="93"/>
      <c r="E5" s="93"/>
      <c r="F5" s="102"/>
      <c r="G5" s="103"/>
      <c r="H5" s="101"/>
      <c r="I5" s="77"/>
      <c r="J5" s="79"/>
      <c r="K5" s="113"/>
      <c r="L5" s="113"/>
      <c r="M5" s="113"/>
      <c r="N5" s="38"/>
      <c r="O5" s="85"/>
      <c r="P5" s="85"/>
      <c r="Q5" s="86"/>
      <c r="R5" s="38"/>
      <c r="S5" s="38"/>
      <c r="T5" s="38"/>
      <c r="U5" s="33"/>
      <c r="V5" s="33"/>
      <c r="W5" s="33"/>
      <c r="X5" s="33"/>
      <c r="Y5" s="34">
        <f>IF(F12="выборка",1,IF(F12="выборка-2ступени",2,0))</f>
        <v>0</v>
      </c>
      <c r="Z5" s="33"/>
    </row>
    <row r="6" spans="1:27" ht="12" customHeight="1" x14ac:dyDescent="0.25">
      <c r="A6" s="93"/>
      <c r="B6" s="93"/>
      <c r="C6" s="93"/>
      <c r="D6" s="93"/>
      <c r="E6" s="93"/>
      <c r="F6" s="104"/>
      <c r="G6" s="105"/>
      <c r="H6" s="101"/>
      <c r="I6" s="77"/>
      <c r="J6" s="78" t="s">
        <v>21</v>
      </c>
      <c r="K6" s="88"/>
      <c r="L6" s="88"/>
      <c r="M6" s="88"/>
      <c r="N6" s="39"/>
      <c r="O6" s="62"/>
      <c r="P6" s="63"/>
      <c r="Q6" s="73"/>
      <c r="R6" s="39"/>
      <c r="S6" s="39"/>
      <c r="T6" s="39"/>
    </row>
    <row r="7" spans="1:27" ht="12" customHeight="1" x14ac:dyDescent="0.25">
      <c r="A7" s="93"/>
      <c r="B7" s="93"/>
      <c r="C7" s="93"/>
      <c r="D7" s="93"/>
      <c r="E7" s="93"/>
      <c r="F7" s="106"/>
      <c r="G7" s="107"/>
      <c r="H7" s="101"/>
      <c r="I7" s="77"/>
      <c r="J7" s="79"/>
      <c r="K7" s="88"/>
      <c r="L7" s="88"/>
      <c r="M7" s="88"/>
      <c r="N7" s="39"/>
      <c r="O7" s="62"/>
      <c r="P7" s="63"/>
      <c r="Q7" s="44"/>
      <c r="R7" s="39"/>
      <c r="S7" s="39"/>
      <c r="T7" s="39"/>
    </row>
    <row r="8" spans="1:27" ht="13.15" customHeight="1" x14ac:dyDescent="0.25">
      <c r="A8" s="95" t="s">
        <v>20</v>
      </c>
      <c r="B8" s="96"/>
      <c r="C8" s="76"/>
      <c r="D8" s="77"/>
      <c r="E8" s="77"/>
      <c r="F8" s="130"/>
      <c r="G8" s="21"/>
      <c r="H8" s="122"/>
      <c r="I8" s="123"/>
      <c r="J8" s="94" t="s">
        <v>17</v>
      </c>
      <c r="K8" s="108">
        <f>SUM(E12:E67)</f>
        <v>0</v>
      </c>
      <c r="L8" s="94" t="s">
        <v>18</v>
      </c>
      <c r="M8" s="119">
        <f>SUM(D12:D67)</f>
        <v>0</v>
      </c>
      <c r="N8" s="14"/>
      <c r="O8" s="64"/>
      <c r="P8" s="8"/>
      <c r="Q8" s="45"/>
      <c r="R8" s="14"/>
      <c r="S8" s="14"/>
      <c r="T8" s="14"/>
    </row>
    <row r="9" spans="1:27" ht="12.75" customHeight="1" x14ac:dyDescent="0.25">
      <c r="A9" s="97"/>
      <c r="B9" s="98"/>
      <c r="C9" s="77"/>
      <c r="D9" s="77"/>
      <c r="E9" s="77"/>
      <c r="F9" s="131"/>
      <c r="G9" s="22"/>
      <c r="H9" s="124"/>
      <c r="I9" s="125"/>
      <c r="J9" s="79"/>
      <c r="K9" s="109"/>
      <c r="L9" s="79"/>
      <c r="M9" s="120"/>
      <c r="N9" s="14"/>
      <c r="O9" s="64"/>
      <c r="P9" s="8"/>
      <c r="Q9" s="45"/>
      <c r="R9" s="14"/>
      <c r="S9" s="14"/>
      <c r="T9" s="14"/>
      <c r="U9" s="115" t="s">
        <v>80</v>
      </c>
      <c r="V9" s="1" t="s">
        <v>52</v>
      </c>
      <c r="Y9" s="1" t="s">
        <v>52</v>
      </c>
    </row>
    <row r="10" spans="1:27" ht="2.25" customHeight="1" x14ac:dyDescent="0.25">
      <c r="A10" s="11"/>
      <c r="B10" s="11"/>
      <c r="C10" s="11"/>
      <c r="D10" s="11"/>
      <c r="E10" s="11"/>
      <c r="F10" s="11"/>
      <c r="G10" s="11"/>
      <c r="J10" s="12"/>
      <c r="K10" s="13"/>
      <c r="L10" s="12"/>
      <c r="M10" s="14"/>
      <c r="N10" s="14"/>
      <c r="O10" s="64"/>
      <c r="P10" s="8"/>
      <c r="Q10" s="45"/>
      <c r="R10" s="14"/>
      <c r="S10" s="14"/>
      <c r="T10" s="14"/>
      <c r="U10" s="115"/>
    </row>
    <row r="11" spans="1:27" ht="33" customHeight="1" x14ac:dyDescent="0.25">
      <c r="A11" s="15" t="s">
        <v>8</v>
      </c>
      <c r="B11" s="16" t="s">
        <v>1</v>
      </c>
      <c r="C11" s="16" t="s">
        <v>2</v>
      </c>
      <c r="D11" s="17" t="s">
        <v>3</v>
      </c>
      <c r="E11" s="23" t="s">
        <v>4</v>
      </c>
      <c r="F11" s="18" t="s">
        <v>6</v>
      </c>
      <c r="G11" s="71" t="s">
        <v>36</v>
      </c>
      <c r="H11" s="70" t="s">
        <v>98</v>
      </c>
      <c r="I11" s="18" t="s">
        <v>5</v>
      </c>
      <c r="J11" s="10" t="s">
        <v>7</v>
      </c>
      <c r="K11" s="118" t="s">
        <v>99</v>
      </c>
      <c r="L11" s="118"/>
      <c r="M11" s="118"/>
      <c r="N11" s="40"/>
      <c r="O11" s="65"/>
      <c r="P11" s="66"/>
      <c r="Q11" s="49"/>
      <c r="R11" s="40"/>
      <c r="S11" s="40"/>
      <c r="T11" s="40"/>
      <c r="U11" s="36">
        <f>IF(F11="выборка",(60),IF(F11="выборка-2ступени",(67),0))</f>
        <v>0</v>
      </c>
      <c r="V11" s="36" t="s">
        <v>53</v>
      </c>
      <c r="W11" s="36" t="s">
        <v>54</v>
      </c>
      <c r="X11" s="36"/>
      <c r="Y11" s="36" t="s">
        <v>53</v>
      </c>
      <c r="Z11" s="36" t="s">
        <v>54</v>
      </c>
    </row>
    <row r="12" spans="1:27" ht="13.9" customHeight="1" x14ac:dyDescent="0.25">
      <c r="A12" s="8">
        <v>1</v>
      </c>
      <c r="B12" s="42"/>
      <c r="C12" s="42"/>
      <c r="D12" s="42"/>
      <c r="E12" s="74">
        <f>ROUNDUP((B12/1000)*(C12/1000)*D12,2)</f>
        <v>0</v>
      </c>
      <c r="F12" s="20"/>
      <c r="G12" s="20"/>
      <c r="H12" s="19"/>
      <c r="I12" s="9"/>
      <c r="J12" s="9">
        <f t="shared" ref="J12:J42" si="0">E12*I12</f>
        <v>0</v>
      </c>
      <c r="K12" s="87"/>
      <c r="L12" s="87"/>
      <c r="M12" s="87"/>
      <c r="N12" s="5"/>
      <c r="O12" s="67"/>
      <c r="P12" s="8"/>
      <c r="Q12" s="45"/>
      <c r="R12" s="5"/>
      <c r="S12" s="5"/>
      <c r="T12" s="19">
        <f>IF(F12="выборка",(60),IF(F12="выборка-2ступени",(67),0))</f>
        <v>0</v>
      </c>
      <c r="U12" s="36">
        <f t="shared" ref="U12:U20" si="1">IF(F12="выборка",(60),IF(F12="выборка-2ступени",(67),0))</f>
        <v>0</v>
      </c>
      <c r="V12" s="36">
        <f>IF(AND((B12 - U12*2-1)&gt;0,U12&gt;0),B12 - U12*2-1,0)</f>
        <v>0</v>
      </c>
      <c r="W12" s="36">
        <f>IF(AND((C12 - U12*2-1)&gt;0,U12&gt;0),C12 - U12*2-1,0)</f>
        <v>0</v>
      </c>
      <c r="X12" s="36"/>
      <c r="Y12" s="36">
        <f>IF(F12="выборка",(B12 - 60*2-1),IF(F12="выборка-2ступени",(B12 - 67*2-1),0))</f>
        <v>0</v>
      </c>
      <c r="Z12" s="36">
        <f>IF(F12="выборка",(C12 - 60*2-1),IF(F12="выборка-2ступени",(C12 - 67*2-1),0))</f>
        <v>0</v>
      </c>
    </row>
    <row r="13" spans="1:27" ht="13.9" customHeight="1" x14ac:dyDescent="0.25">
      <c r="A13" s="8">
        <v>2</v>
      </c>
      <c r="B13" s="42"/>
      <c r="C13" s="42"/>
      <c r="D13" s="42"/>
      <c r="E13" s="20">
        <f t="shared" ref="E13:E42" si="2">ROUNDUP((B13/1000)*(C13/1000)*D13,2)</f>
        <v>0</v>
      </c>
      <c r="F13" s="20"/>
      <c r="G13" s="20"/>
      <c r="H13" s="19"/>
      <c r="I13" s="9"/>
      <c r="J13" s="9">
        <f t="shared" si="0"/>
        <v>0</v>
      </c>
      <c r="K13" s="87"/>
      <c r="L13" s="87"/>
      <c r="M13" s="87"/>
      <c r="N13" s="5"/>
      <c r="O13" s="67"/>
      <c r="P13" s="8"/>
      <c r="Q13" s="45"/>
      <c r="R13" s="5"/>
      <c r="S13" s="5"/>
      <c r="T13" s="19"/>
      <c r="U13" s="36">
        <f t="shared" si="1"/>
        <v>0</v>
      </c>
      <c r="V13" s="36">
        <f t="shared" ref="V13:V42" si="3">IF(AND((B13 - U13*2-1)&gt;0,U13&gt;0),B13 - U13*2-1,0)</f>
        <v>0</v>
      </c>
      <c r="W13" s="36">
        <f t="shared" ref="W13:W42" si="4">IF(AND((C13 - U13*2-1)&gt;0,U13&gt;0),C13 - U13*2-1,0)</f>
        <v>0</v>
      </c>
      <c r="X13" s="36"/>
      <c r="Y13" s="36">
        <f t="shared" ref="Y13:Y42" si="5">IF(F13="выборка",(B13 - 60*2-1),IF(F13="выборка-2ступени",(B13 - 67*2-1),0))</f>
        <v>0</v>
      </c>
      <c r="Z13" s="36">
        <f t="shared" ref="Z13:Z42" si="6">IF(F13="выборка",(C13 - 60*2-1),IF(F13="выборка-2ступени",(C13 - 67*2-1),0))</f>
        <v>0</v>
      </c>
    </row>
    <row r="14" spans="1:27" ht="13.9" customHeight="1" x14ac:dyDescent="0.25">
      <c r="A14" s="8">
        <v>3</v>
      </c>
      <c r="B14" s="42"/>
      <c r="C14" s="42"/>
      <c r="D14" s="42"/>
      <c r="E14" s="20">
        <f t="shared" si="2"/>
        <v>0</v>
      </c>
      <c r="F14" s="20"/>
      <c r="G14" s="20"/>
      <c r="H14" s="19"/>
      <c r="I14" s="9"/>
      <c r="J14" s="9">
        <f t="shared" si="0"/>
        <v>0</v>
      </c>
      <c r="K14" s="87"/>
      <c r="L14" s="87"/>
      <c r="M14" s="87"/>
      <c r="N14" s="5"/>
      <c r="O14" s="67"/>
      <c r="P14" s="8"/>
      <c r="Q14" s="45"/>
      <c r="R14" s="5"/>
      <c r="S14" s="5"/>
      <c r="T14" s="19"/>
      <c r="U14" s="36">
        <f t="shared" si="1"/>
        <v>0</v>
      </c>
      <c r="V14" s="36">
        <f t="shared" si="3"/>
        <v>0</v>
      </c>
      <c r="W14" s="36">
        <f t="shared" si="4"/>
        <v>0</v>
      </c>
      <c r="X14" s="36"/>
      <c r="Y14" s="36">
        <f t="shared" si="5"/>
        <v>0</v>
      </c>
      <c r="Z14" s="36">
        <f t="shared" si="6"/>
        <v>0</v>
      </c>
    </row>
    <row r="15" spans="1:27" ht="13.9" customHeight="1" x14ac:dyDescent="0.25">
      <c r="A15" s="8">
        <v>4</v>
      </c>
      <c r="B15" s="42"/>
      <c r="C15" s="42"/>
      <c r="D15" s="42"/>
      <c r="E15" s="20">
        <f t="shared" si="2"/>
        <v>0</v>
      </c>
      <c r="F15" s="20"/>
      <c r="G15" s="20"/>
      <c r="H15" s="19"/>
      <c r="I15" s="9"/>
      <c r="J15" s="9">
        <f t="shared" si="0"/>
        <v>0</v>
      </c>
      <c r="K15" s="87"/>
      <c r="L15" s="87"/>
      <c r="M15" s="87"/>
      <c r="N15" s="5"/>
      <c r="O15" s="5"/>
      <c r="P15" s="50"/>
      <c r="Q15" s="51"/>
      <c r="R15" s="5"/>
      <c r="S15" s="5"/>
      <c r="T15" s="19"/>
      <c r="U15" s="36">
        <f t="shared" si="1"/>
        <v>0</v>
      </c>
      <c r="V15" s="36">
        <f t="shared" si="3"/>
        <v>0</v>
      </c>
      <c r="W15" s="36">
        <f t="shared" si="4"/>
        <v>0</v>
      </c>
      <c r="X15" s="36"/>
      <c r="Y15" s="36">
        <f t="shared" si="5"/>
        <v>0</v>
      </c>
      <c r="Z15" s="36">
        <f t="shared" si="6"/>
        <v>0</v>
      </c>
    </row>
    <row r="16" spans="1:27" ht="13.9" customHeight="1" x14ac:dyDescent="0.25">
      <c r="A16" s="8">
        <v>5</v>
      </c>
      <c r="B16" s="42"/>
      <c r="C16" s="42"/>
      <c r="D16" s="42"/>
      <c r="E16" s="20">
        <f t="shared" si="2"/>
        <v>0</v>
      </c>
      <c r="F16" s="20"/>
      <c r="G16" s="20"/>
      <c r="H16" s="19"/>
      <c r="I16" s="9"/>
      <c r="J16" s="9">
        <f t="shared" si="0"/>
        <v>0</v>
      </c>
      <c r="K16" s="87"/>
      <c r="L16" s="87"/>
      <c r="M16" s="87"/>
      <c r="N16" s="5"/>
      <c r="O16" s="5"/>
      <c r="P16" s="50"/>
      <c r="Q16" s="51"/>
      <c r="R16" s="5"/>
      <c r="S16" s="5"/>
      <c r="T16" s="19"/>
      <c r="U16" s="36">
        <f t="shared" si="1"/>
        <v>0</v>
      </c>
      <c r="V16" s="36">
        <f t="shared" si="3"/>
        <v>0</v>
      </c>
      <c r="W16" s="36">
        <f t="shared" si="4"/>
        <v>0</v>
      </c>
      <c r="X16" s="36"/>
      <c r="Y16" s="36">
        <f t="shared" si="5"/>
        <v>0</v>
      </c>
      <c r="Z16" s="36">
        <f t="shared" si="6"/>
        <v>0</v>
      </c>
    </row>
    <row r="17" spans="1:26" ht="13.9" customHeight="1" x14ac:dyDescent="0.25">
      <c r="A17" s="8">
        <v>6</v>
      </c>
      <c r="B17" s="42"/>
      <c r="C17" s="42"/>
      <c r="D17" s="42"/>
      <c r="E17" s="20">
        <f t="shared" si="2"/>
        <v>0</v>
      </c>
      <c r="F17" s="20"/>
      <c r="G17" s="20"/>
      <c r="H17" s="19"/>
      <c r="I17" s="9"/>
      <c r="J17" s="9">
        <f t="shared" si="0"/>
        <v>0</v>
      </c>
      <c r="K17" s="87"/>
      <c r="L17" s="87"/>
      <c r="M17" s="87"/>
      <c r="N17" s="5"/>
      <c r="O17" s="5"/>
      <c r="P17" s="50"/>
      <c r="Q17" s="51"/>
      <c r="R17" s="5"/>
      <c r="S17" s="5"/>
      <c r="T17" s="19"/>
      <c r="U17" s="36">
        <f t="shared" si="1"/>
        <v>0</v>
      </c>
      <c r="V17" s="36">
        <f t="shared" si="3"/>
        <v>0</v>
      </c>
      <c r="W17" s="36">
        <f t="shared" si="4"/>
        <v>0</v>
      </c>
      <c r="X17" s="36"/>
      <c r="Y17" s="36">
        <f t="shared" si="5"/>
        <v>0</v>
      </c>
      <c r="Z17" s="36">
        <f t="shared" si="6"/>
        <v>0</v>
      </c>
    </row>
    <row r="18" spans="1:26" ht="13.9" customHeight="1" x14ac:dyDescent="0.25">
      <c r="A18" s="8">
        <v>7</v>
      </c>
      <c r="B18" s="42"/>
      <c r="C18" s="42"/>
      <c r="D18" s="42"/>
      <c r="E18" s="20">
        <f t="shared" si="2"/>
        <v>0</v>
      </c>
      <c r="F18" s="20"/>
      <c r="G18" s="20"/>
      <c r="H18" s="19"/>
      <c r="I18" s="9"/>
      <c r="J18" s="9">
        <f t="shared" si="0"/>
        <v>0</v>
      </c>
      <c r="K18" s="87"/>
      <c r="L18" s="87"/>
      <c r="M18" s="87"/>
      <c r="N18" s="5"/>
      <c r="O18" s="5"/>
      <c r="P18" s="50"/>
      <c r="Q18" s="51"/>
      <c r="R18" s="5"/>
      <c r="S18" s="5"/>
      <c r="T18" s="19"/>
      <c r="U18" s="36">
        <f t="shared" si="1"/>
        <v>0</v>
      </c>
      <c r="V18" s="36">
        <f t="shared" si="3"/>
        <v>0</v>
      </c>
      <c r="W18" s="36">
        <f t="shared" si="4"/>
        <v>0</v>
      </c>
      <c r="X18" s="36"/>
      <c r="Y18" s="36">
        <f t="shared" si="5"/>
        <v>0</v>
      </c>
      <c r="Z18" s="36">
        <f t="shared" si="6"/>
        <v>0</v>
      </c>
    </row>
    <row r="19" spans="1:26" ht="13.9" customHeight="1" x14ac:dyDescent="0.25">
      <c r="A19" s="8">
        <v>8</v>
      </c>
      <c r="B19" s="42"/>
      <c r="C19" s="42"/>
      <c r="D19" s="42"/>
      <c r="E19" s="20">
        <f t="shared" si="2"/>
        <v>0</v>
      </c>
      <c r="F19" s="20"/>
      <c r="G19" s="20"/>
      <c r="H19" s="19"/>
      <c r="I19" s="9"/>
      <c r="J19" s="9">
        <f t="shared" si="0"/>
        <v>0</v>
      </c>
      <c r="K19" s="87"/>
      <c r="L19" s="87"/>
      <c r="M19" s="87"/>
      <c r="N19" s="5"/>
      <c r="O19" s="5"/>
      <c r="P19" s="50"/>
      <c r="Q19" s="51"/>
      <c r="R19" s="5"/>
      <c r="S19" s="5"/>
      <c r="T19" s="19"/>
      <c r="U19" s="36">
        <f t="shared" si="1"/>
        <v>0</v>
      </c>
      <c r="V19" s="36">
        <f t="shared" si="3"/>
        <v>0</v>
      </c>
      <c r="W19" s="36">
        <f t="shared" si="4"/>
        <v>0</v>
      </c>
      <c r="X19" s="36"/>
      <c r="Y19" s="36">
        <f t="shared" si="5"/>
        <v>0</v>
      </c>
      <c r="Z19" s="36">
        <f t="shared" si="6"/>
        <v>0</v>
      </c>
    </row>
    <row r="20" spans="1:26" ht="13.9" customHeight="1" x14ac:dyDescent="0.25">
      <c r="A20" s="8">
        <v>9</v>
      </c>
      <c r="B20" s="42"/>
      <c r="C20" s="42"/>
      <c r="D20" s="42"/>
      <c r="E20" s="20">
        <f t="shared" si="2"/>
        <v>0</v>
      </c>
      <c r="F20" s="20"/>
      <c r="G20" s="20"/>
      <c r="H20" s="19"/>
      <c r="I20" s="9"/>
      <c r="J20" s="9">
        <f t="shared" si="0"/>
        <v>0</v>
      </c>
      <c r="K20" s="87"/>
      <c r="L20" s="87"/>
      <c r="M20" s="87"/>
      <c r="N20" s="5"/>
      <c r="O20" s="5"/>
      <c r="P20" s="50"/>
      <c r="Q20" s="51"/>
      <c r="R20" s="5"/>
      <c r="S20" s="5"/>
      <c r="T20" s="19"/>
      <c r="U20" s="36">
        <f t="shared" si="1"/>
        <v>0</v>
      </c>
      <c r="V20" s="36">
        <f t="shared" si="3"/>
        <v>0</v>
      </c>
      <c r="W20" s="36">
        <f t="shared" si="4"/>
        <v>0</v>
      </c>
      <c r="X20" s="36"/>
      <c r="Y20" s="36">
        <f t="shared" si="5"/>
        <v>0</v>
      </c>
      <c r="Z20" s="36">
        <f t="shared" si="6"/>
        <v>0</v>
      </c>
    </row>
    <row r="21" spans="1:26" ht="13.9" customHeight="1" x14ac:dyDescent="0.25">
      <c r="A21" s="8">
        <v>10</v>
      </c>
      <c r="B21" s="42"/>
      <c r="C21" s="42"/>
      <c r="D21" s="42"/>
      <c r="E21" s="20">
        <f t="shared" si="2"/>
        <v>0</v>
      </c>
      <c r="F21" s="20"/>
      <c r="G21" s="20"/>
      <c r="H21" s="19"/>
      <c r="I21" s="9"/>
      <c r="J21" s="9">
        <f t="shared" si="0"/>
        <v>0</v>
      </c>
      <c r="K21" s="87"/>
      <c r="L21" s="87"/>
      <c r="M21" s="87"/>
      <c r="N21" s="5"/>
      <c r="O21" s="5"/>
      <c r="P21" s="50"/>
      <c r="Q21" s="51"/>
      <c r="R21" s="5"/>
      <c r="S21" s="5"/>
      <c r="T21" s="19"/>
      <c r="U21" s="36">
        <f t="shared" ref="U21:U42" si="7">IF(F21="выборка",(60),IF(F21="выборка-2ступени",(67),0))</f>
        <v>0</v>
      </c>
      <c r="V21" s="36">
        <f t="shared" si="3"/>
        <v>0</v>
      </c>
      <c r="W21" s="36">
        <f t="shared" si="4"/>
        <v>0</v>
      </c>
      <c r="X21" s="36"/>
      <c r="Y21" s="36">
        <f t="shared" si="5"/>
        <v>0</v>
      </c>
      <c r="Z21" s="36">
        <f t="shared" si="6"/>
        <v>0</v>
      </c>
    </row>
    <row r="22" spans="1:26" ht="13.9" customHeight="1" x14ac:dyDescent="0.25">
      <c r="A22" s="8">
        <v>11</v>
      </c>
      <c r="B22" s="42"/>
      <c r="C22" s="42"/>
      <c r="D22" s="42"/>
      <c r="E22" s="20">
        <f t="shared" si="2"/>
        <v>0</v>
      </c>
      <c r="F22" s="20"/>
      <c r="G22" s="20"/>
      <c r="H22" s="19"/>
      <c r="I22" s="9"/>
      <c r="J22" s="9">
        <f t="shared" si="0"/>
        <v>0</v>
      </c>
      <c r="K22" s="87"/>
      <c r="L22" s="87"/>
      <c r="M22" s="87"/>
      <c r="N22" s="5"/>
      <c r="O22" s="5"/>
      <c r="P22" s="50"/>
      <c r="Q22" s="51"/>
      <c r="R22" s="5"/>
      <c r="S22" s="5"/>
      <c r="T22" s="19"/>
      <c r="U22" s="36">
        <f t="shared" si="7"/>
        <v>0</v>
      </c>
      <c r="V22" s="36">
        <f t="shared" si="3"/>
        <v>0</v>
      </c>
      <c r="W22" s="36">
        <f t="shared" si="4"/>
        <v>0</v>
      </c>
      <c r="X22" s="36"/>
      <c r="Y22" s="36">
        <f t="shared" si="5"/>
        <v>0</v>
      </c>
      <c r="Z22" s="36">
        <f t="shared" si="6"/>
        <v>0</v>
      </c>
    </row>
    <row r="23" spans="1:26" ht="13.9" customHeight="1" x14ac:dyDescent="0.25">
      <c r="A23" s="8">
        <v>12</v>
      </c>
      <c r="B23" s="42"/>
      <c r="C23" s="42"/>
      <c r="D23" s="42"/>
      <c r="E23" s="20">
        <f t="shared" si="2"/>
        <v>0</v>
      </c>
      <c r="F23" s="20"/>
      <c r="G23" s="20"/>
      <c r="H23" s="19"/>
      <c r="I23" s="9"/>
      <c r="J23" s="9">
        <f t="shared" si="0"/>
        <v>0</v>
      </c>
      <c r="K23" s="87"/>
      <c r="L23" s="87"/>
      <c r="M23" s="87"/>
      <c r="N23" s="5"/>
      <c r="O23" s="5"/>
      <c r="P23" s="50"/>
      <c r="Q23" s="51"/>
      <c r="R23" s="5"/>
      <c r="S23" s="5"/>
      <c r="T23" s="19"/>
      <c r="U23" s="36">
        <f t="shared" si="7"/>
        <v>0</v>
      </c>
      <c r="V23" s="36">
        <f t="shared" si="3"/>
        <v>0</v>
      </c>
      <c r="W23" s="36">
        <f t="shared" si="4"/>
        <v>0</v>
      </c>
      <c r="X23" s="36"/>
      <c r="Y23" s="36">
        <f t="shared" si="5"/>
        <v>0</v>
      </c>
      <c r="Z23" s="36">
        <f t="shared" si="6"/>
        <v>0</v>
      </c>
    </row>
    <row r="24" spans="1:26" ht="13.9" customHeight="1" x14ac:dyDescent="0.25">
      <c r="A24" s="8">
        <v>13</v>
      </c>
      <c r="B24" s="42"/>
      <c r="C24" s="42"/>
      <c r="D24" s="42"/>
      <c r="E24" s="20">
        <f t="shared" si="2"/>
        <v>0</v>
      </c>
      <c r="F24" s="20"/>
      <c r="G24" s="20"/>
      <c r="H24" s="19"/>
      <c r="I24" s="9"/>
      <c r="J24" s="9">
        <f t="shared" si="0"/>
        <v>0</v>
      </c>
      <c r="K24" s="87"/>
      <c r="L24" s="87"/>
      <c r="M24" s="87"/>
      <c r="N24" s="5"/>
      <c r="O24" s="5"/>
      <c r="P24" s="50"/>
      <c r="Q24" s="51"/>
      <c r="R24" s="5"/>
      <c r="S24" s="5"/>
      <c r="T24" s="19"/>
      <c r="U24" s="36">
        <f t="shared" si="7"/>
        <v>0</v>
      </c>
      <c r="V24" s="36">
        <f t="shared" si="3"/>
        <v>0</v>
      </c>
      <c r="W24" s="36">
        <f t="shared" si="4"/>
        <v>0</v>
      </c>
      <c r="X24" s="36"/>
      <c r="Y24" s="36">
        <f t="shared" si="5"/>
        <v>0</v>
      </c>
      <c r="Z24" s="36">
        <f t="shared" si="6"/>
        <v>0</v>
      </c>
    </row>
    <row r="25" spans="1:26" ht="13.9" customHeight="1" x14ac:dyDescent="0.25">
      <c r="A25" s="8">
        <v>14</v>
      </c>
      <c r="B25" s="42"/>
      <c r="C25" s="42"/>
      <c r="D25" s="42"/>
      <c r="E25" s="20">
        <f t="shared" si="2"/>
        <v>0</v>
      </c>
      <c r="F25" s="20"/>
      <c r="G25" s="20"/>
      <c r="H25" s="19"/>
      <c r="I25" s="9"/>
      <c r="J25" s="9">
        <f t="shared" si="0"/>
        <v>0</v>
      </c>
      <c r="K25" s="87"/>
      <c r="L25" s="87"/>
      <c r="M25" s="87"/>
      <c r="N25" s="5"/>
      <c r="O25" s="5"/>
      <c r="P25" s="50"/>
      <c r="Q25" s="51"/>
      <c r="R25" s="5"/>
      <c r="S25" s="5"/>
      <c r="T25" s="19"/>
      <c r="U25" s="36">
        <f t="shared" si="7"/>
        <v>0</v>
      </c>
      <c r="V25" s="36">
        <f t="shared" si="3"/>
        <v>0</v>
      </c>
      <c r="W25" s="36">
        <f t="shared" si="4"/>
        <v>0</v>
      </c>
      <c r="X25" s="36"/>
      <c r="Y25" s="36">
        <f t="shared" si="5"/>
        <v>0</v>
      </c>
      <c r="Z25" s="36">
        <f t="shared" si="6"/>
        <v>0</v>
      </c>
    </row>
    <row r="26" spans="1:26" ht="13.9" customHeight="1" x14ac:dyDescent="0.25">
      <c r="A26" s="8">
        <v>15</v>
      </c>
      <c r="B26" s="42"/>
      <c r="C26" s="42"/>
      <c r="D26" s="42"/>
      <c r="E26" s="20">
        <f t="shared" si="2"/>
        <v>0</v>
      </c>
      <c r="F26" s="20"/>
      <c r="G26" s="20"/>
      <c r="H26" s="19"/>
      <c r="I26" s="9"/>
      <c r="J26" s="9">
        <f t="shared" si="0"/>
        <v>0</v>
      </c>
      <c r="K26" s="87"/>
      <c r="L26" s="87"/>
      <c r="M26" s="87"/>
      <c r="N26" s="5"/>
      <c r="O26" s="5"/>
      <c r="P26" s="50"/>
      <c r="Q26" s="51"/>
      <c r="R26" s="5"/>
      <c r="S26" s="5"/>
      <c r="T26" s="19"/>
      <c r="U26" s="36">
        <f t="shared" si="7"/>
        <v>0</v>
      </c>
      <c r="V26" s="36">
        <f t="shared" si="3"/>
        <v>0</v>
      </c>
      <c r="W26" s="36">
        <f t="shared" si="4"/>
        <v>0</v>
      </c>
      <c r="X26" s="36"/>
      <c r="Y26" s="36">
        <f t="shared" si="5"/>
        <v>0</v>
      </c>
      <c r="Z26" s="36">
        <f t="shared" si="6"/>
        <v>0</v>
      </c>
    </row>
    <row r="27" spans="1:26" ht="13.9" customHeight="1" x14ac:dyDescent="0.25">
      <c r="A27" s="8">
        <v>16</v>
      </c>
      <c r="B27" s="42"/>
      <c r="C27" s="42"/>
      <c r="D27" s="42"/>
      <c r="E27" s="20">
        <f t="shared" si="2"/>
        <v>0</v>
      </c>
      <c r="F27" s="20"/>
      <c r="G27" s="20"/>
      <c r="H27" s="19"/>
      <c r="I27" s="9"/>
      <c r="J27" s="9">
        <f t="shared" si="0"/>
        <v>0</v>
      </c>
      <c r="K27" s="87"/>
      <c r="L27" s="87"/>
      <c r="M27" s="87"/>
      <c r="N27" s="5"/>
      <c r="O27" s="5"/>
      <c r="P27" s="50"/>
      <c r="Q27" s="51"/>
      <c r="R27" s="5"/>
      <c r="S27" s="5"/>
      <c r="T27" s="19"/>
      <c r="U27" s="36">
        <f t="shared" si="7"/>
        <v>0</v>
      </c>
      <c r="V27" s="36">
        <f t="shared" si="3"/>
        <v>0</v>
      </c>
      <c r="W27" s="36">
        <f t="shared" si="4"/>
        <v>0</v>
      </c>
      <c r="X27" s="36"/>
      <c r="Y27" s="36">
        <f t="shared" si="5"/>
        <v>0</v>
      </c>
      <c r="Z27" s="36">
        <f t="shared" si="6"/>
        <v>0</v>
      </c>
    </row>
    <row r="28" spans="1:26" ht="13.9" customHeight="1" x14ac:dyDescent="0.25">
      <c r="A28" s="8">
        <v>17</v>
      </c>
      <c r="B28" s="42"/>
      <c r="C28" s="42"/>
      <c r="D28" s="42"/>
      <c r="E28" s="20">
        <f t="shared" si="2"/>
        <v>0</v>
      </c>
      <c r="F28" s="20"/>
      <c r="G28" s="20"/>
      <c r="H28" s="19"/>
      <c r="I28" s="9"/>
      <c r="J28" s="9">
        <f t="shared" si="0"/>
        <v>0</v>
      </c>
      <c r="K28" s="87"/>
      <c r="L28" s="87"/>
      <c r="M28" s="121"/>
      <c r="N28" s="5"/>
      <c r="O28" s="5"/>
      <c r="P28" s="50"/>
      <c r="Q28" s="51"/>
      <c r="R28" s="5"/>
      <c r="S28" s="5"/>
      <c r="T28" s="19"/>
      <c r="U28" s="36">
        <f t="shared" si="7"/>
        <v>0</v>
      </c>
      <c r="V28" s="36">
        <f t="shared" si="3"/>
        <v>0</v>
      </c>
      <c r="W28" s="36">
        <f t="shared" si="4"/>
        <v>0</v>
      </c>
      <c r="X28" s="36"/>
      <c r="Y28" s="36">
        <f t="shared" si="5"/>
        <v>0</v>
      </c>
      <c r="Z28" s="36">
        <f t="shared" si="6"/>
        <v>0</v>
      </c>
    </row>
    <row r="29" spans="1:26" ht="13.9" customHeight="1" x14ac:dyDescent="0.25">
      <c r="A29" s="8">
        <v>18</v>
      </c>
      <c r="B29" s="42"/>
      <c r="C29" s="42"/>
      <c r="D29" s="42"/>
      <c r="E29" s="20">
        <f t="shared" si="2"/>
        <v>0</v>
      </c>
      <c r="F29" s="20"/>
      <c r="G29" s="20"/>
      <c r="H29" s="19"/>
      <c r="I29" s="9"/>
      <c r="J29" s="9">
        <f t="shared" si="0"/>
        <v>0</v>
      </c>
      <c r="K29" s="87"/>
      <c r="L29" s="87"/>
      <c r="M29" s="121"/>
      <c r="N29" s="5"/>
      <c r="O29" s="5"/>
      <c r="P29" s="50"/>
      <c r="Q29" s="51"/>
      <c r="R29" s="5"/>
      <c r="S29" s="5"/>
      <c r="T29" s="19"/>
      <c r="U29" s="36">
        <f t="shared" si="7"/>
        <v>0</v>
      </c>
      <c r="V29" s="36">
        <f t="shared" si="3"/>
        <v>0</v>
      </c>
      <c r="W29" s="36">
        <f t="shared" si="4"/>
        <v>0</v>
      </c>
      <c r="X29" s="36"/>
      <c r="Y29" s="36">
        <f t="shared" si="5"/>
        <v>0</v>
      </c>
      <c r="Z29" s="36">
        <f t="shared" si="6"/>
        <v>0</v>
      </c>
    </row>
    <row r="30" spans="1:26" ht="13.9" customHeight="1" x14ac:dyDescent="0.25">
      <c r="A30" s="8">
        <v>19</v>
      </c>
      <c r="B30" s="42"/>
      <c r="C30" s="42"/>
      <c r="D30" s="42"/>
      <c r="E30" s="20">
        <f t="shared" si="2"/>
        <v>0</v>
      </c>
      <c r="F30" s="20"/>
      <c r="G30" s="20"/>
      <c r="H30" s="19"/>
      <c r="I30" s="9"/>
      <c r="J30" s="9">
        <f t="shared" si="0"/>
        <v>0</v>
      </c>
      <c r="K30" s="87"/>
      <c r="L30" s="87"/>
      <c r="M30" s="121"/>
      <c r="N30" s="5"/>
      <c r="O30" s="5"/>
      <c r="P30" s="50"/>
      <c r="Q30" s="51"/>
      <c r="R30" s="5"/>
      <c r="S30" s="5"/>
      <c r="T30" s="19"/>
      <c r="U30" s="36">
        <f t="shared" si="7"/>
        <v>0</v>
      </c>
      <c r="V30" s="36">
        <f t="shared" si="3"/>
        <v>0</v>
      </c>
      <c r="W30" s="36">
        <f t="shared" si="4"/>
        <v>0</v>
      </c>
      <c r="X30" s="36"/>
      <c r="Y30" s="36">
        <f t="shared" si="5"/>
        <v>0</v>
      </c>
      <c r="Z30" s="36">
        <f t="shared" si="6"/>
        <v>0</v>
      </c>
    </row>
    <row r="31" spans="1:26" ht="13.9" customHeight="1" x14ac:dyDescent="0.25">
      <c r="A31" s="8">
        <v>20</v>
      </c>
      <c r="B31" s="42"/>
      <c r="C31" s="42"/>
      <c r="D31" s="42"/>
      <c r="E31" s="20">
        <f t="shared" si="2"/>
        <v>0</v>
      </c>
      <c r="F31" s="20"/>
      <c r="G31" s="20"/>
      <c r="H31" s="19"/>
      <c r="I31" s="9"/>
      <c r="J31" s="9">
        <f t="shared" si="0"/>
        <v>0</v>
      </c>
      <c r="K31" s="87"/>
      <c r="L31" s="87"/>
      <c r="M31" s="121"/>
      <c r="N31" s="5"/>
      <c r="O31" s="5"/>
      <c r="P31" s="50"/>
      <c r="Q31" s="51"/>
      <c r="R31" s="5"/>
      <c r="S31" s="5"/>
      <c r="T31" s="19"/>
      <c r="U31" s="36">
        <f t="shared" si="7"/>
        <v>0</v>
      </c>
      <c r="V31" s="36">
        <f t="shared" si="3"/>
        <v>0</v>
      </c>
      <c r="W31" s="36">
        <f t="shared" si="4"/>
        <v>0</v>
      </c>
      <c r="X31" s="36"/>
      <c r="Y31" s="36">
        <f t="shared" si="5"/>
        <v>0</v>
      </c>
      <c r="Z31" s="36">
        <f t="shared" si="6"/>
        <v>0</v>
      </c>
    </row>
    <row r="32" spans="1:26" ht="13.9" customHeight="1" x14ac:dyDescent="0.25">
      <c r="A32" s="8">
        <v>21</v>
      </c>
      <c r="B32" s="42"/>
      <c r="C32" s="42"/>
      <c r="D32" s="42"/>
      <c r="E32" s="20">
        <f t="shared" si="2"/>
        <v>0</v>
      </c>
      <c r="F32" s="20"/>
      <c r="G32" s="20"/>
      <c r="H32" s="19"/>
      <c r="I32" s="9"/>
      <c r="J32" s="9">
        <f t="shared" si="0"/>
        <v>0</v>
      </c>
      <c r="K32" s="87"/>
      <c r="L32" s="87"/>
      <c r="M32" s="87"/>
      <c r="N32" s="5"/>
      <c r="O32" s="5"/>
      <c r="P32" s="50"/>
      <c r="Q32" s="51"/>
      <c r="R32" s="5"/>
      <c r="S32" s="5"/>
      <c r="T32" s="19"/>
      <c r="U32" s="36">
        <f t="shared" si="7"/>
        <v>0</v>
      </c>
      <c r="V32" s="36">
        <f t="shared" si="3"/>
        <v>0</v>
      </c>
      <c r="W32" s="36">
        <f t="shared" si="4"/>
        <v>0</v>
      </c>
      <c r="X32" s="36"/>
      <c r="Y32" s="36">
        <f t="shared" si="5"/>
        <v>0</v>
      </c>
      <c r="Z32" s="36">
        <f t="shared" si="6"/>
        <v>0</v>
      </c>
    </row>
    <row r="33" spans="1:26" ht="13.9" customHeight="1" x14ac:dyDescent="0.25">
      <c r="A33" s="8">
        <v>22</v>
      </c>
      <c r="B33" s="42"/>
      <c r="C33" s="42"/>
      <c r="D33" s="42"/>
      <c r="E33" s="20">
        <f t="shared" si="2"/>
        <v>0</v>
      </c>
      <c r="F33" s="20"/>
      <c r="G33" s="20"/>
      <c r="H33" s="19"/>
      <c r="I33" s="9"/>
      <c r="J33" s="9">
        <f t="shared" si="0"/>
        <v>0</v>
      </c>
      <c r="K33" s="87"/>
      <c r="L33" s="87"/>
      <c r="M33" s="87"/>
      <c r="N33" s="5"/>
      <c r="O33" s="5"/>
      <c r="P33" s="50"/>
      <c r="Q33" s="51"/>
      <c r="R33" s="5"/>
      <c r="S33" s="5"/>
      <c r="T33" s="19"/>
      <c r="U33" s="36">
        <f t="shared" si="7"/>
        <v>0</v>
      </c>
      <c r="V33" s="36">
        <f t="shared" si="3"/>
        <v>0</v>
      </c>
      <c r="W33" s="36">
        <f t="shared" si="4"/>
        <v>0</v>
      </c>
      <c r="X33" s="36"/>
      <c r="Y33" s="36">
        <f t="shared" si="5"/>
        <v>0</v>
      </c>
      <c r="Z33" s="36">
        <f t="shared" si="6"/>
        <v>0</v>
      </c>
    </row>
    <row r="34" spans="1:26" ht="13.9" customHeight="1" x14ac:dyDescent="0.25">
      <c r="A34" s="8">
        <v>23</v>
      </c>
      <c r="B34" s="42"/>
      <c r="C34" s="42"/>
      <c r="D34" s="42"/>
      <c r="E34" s="20">
        <f t="shared" si="2"/>
        <v>0</v>
      </c>
      <c r="F34" s="20"/>
      <c r="G34" s="20"/>
      <c r="H34" s="19"/>
      <c r="I34" s="9"/>
      <c r="J34" s="9">
        <f t="shared" si="0"/>
        <v>0</v>
      </c>
      <c r="K34" s="87"/>
      <c r="L34" s="87"/>
      <c r="M34" s="87"/>
      <c r="N34" s="5"/>
      <c r="O34" s="5"/>
      <c r="P34" s="50"/>
      <c r="Q34" s="51"/>
      <c r="R34" s="5"/>
      <c r="S34" s="5"/>
      <c r="T34" s="19"/>
      <c r="U34" s="36">
        <f t="shared" si="7"/>
        <v>0</v>
      </c>
      <c r="V34" s="36">
        <f t="shared" si="3"/>
        <v>0</v>
      </c>
      <c r="W34" s="36">
        <f t="shared" si="4"/>
        <v>0</v>
      </c>
      <c r="X34" s="36"/>
      <c r="Y34" s="36">
        <f t="shared" si="5"/>
        <v>0</v>
      </c>
      <c r="Z34" s="36">
        <f t="shared" si="6"/>
        <v>0</v>
      </c>
    </row>
    <row r="35" spans="1:26" ht="13.9" customHeight="1" x14ac:dyDescent="0.25">
      <c r="A35" s="8">
        <v>24</v>
      </c>
      <c r="B35" s="42"/>
      <c r="C35" s="42"/>
      <c r="D35" s="42"/>
      <c r="E35" s="20">
        <f t="shared" si="2"/>
        <v>0</v>
      </c>
      <c r="F35" s="20"/>
      <c r="G35" s="20"/>
      <c r="H35" s="19"/>
      <c r="I35" s="9"/>
      <c r="J35" s="9">
        <f t="shared" si="0"/>
        <v>0</v>
      </c>
      <c r="K35" s="87"/>
      <c r="L35" s="87"/>
      <c r="M35" s="87"/>
      <c r="N35" s="5"/>
      <c r="O35" s="5"/>
      <c r="P35" s="50"/>
      <c r="Q35" s="51"/>
      <c r="R35" s="5"/>
      <c r="S35" s="5"/>
      <c r="T35" s="19"/>
      <c r="U35" s="36">
        <f t="shared" si="7"/>
        <v>0</v>
      </c>
      <c r="V35" s="36">
        <f t="shared" si="3"/>
        <v>0</v>
      </c>
      <c r="W35" s="36">
        <f t="shared" si="4"/>
        <v>0</v>
      </c>
      <c r="X35" s="36"/>
      <c r="Y35" s="36">
        <f t="shared" si="5"/>
        <v>0</v>
      </c>
      <c r="Z35" s="36">
        <f t="shared" si="6"/>
        <v>0</v>
      </c>
    </row>
    <row r="36" spans="1:26" ht="13.9" customHeight="1" x14ac:dyDescent="0.25">
      <c r="A36" s="8">
        <v>25</v>
      </c>
      <c r="B36" s="42"/>
      <c r="C36" s="42"/>
      <c r="D36" s="42"/>
      <c r="E36" s="20">
        <f t="shared" si="2"/>
        <v>0</v>
      </c>
      <c r="F36" s="20"/>
      <c r="G36" s="20"/>
      <c r="H36" s="19"/>
      <c r="I36" s="9"/>
      <c r="J36" s="9">
        <f t="shared" si="0"/>
        <v>0</v>
      </c>
      <c r="K36" s="87"/>
      <c r="L36" s="87"/>
      <c r="M36" s="87"/>
      <c r="N36" s="5"/>
      <c r="O36" s="5"/>
      <c r="P36" s="50"/>
      <c r="Q36" s="51"/>
      <c r="R36" s="5"/>
      <c r="S36" s="5"/>
      <c r="T36" s="19"/>
      <c r="U36" s="36">
        <f t="shared" si="7"/>
        <v>0</v>
      </c>
      <c r="V36" s="36">
        <f t="shared" si="3"/>
        <v>0</v>
      </c>
      <c r="W36" s="36">
        <f t="shared" si="4"/>
        <v>0</v>
      </c>
      <c r="X36" s="36"/>
      <c r="Y36" s="36">
        <f t="shared" si="5"/>
        <v>0</v>
      </c>
      <c r="Z36" s="36">
        <f t="shared" si="6"/>
        <v>0</v>
      </c>
    </row>
    <row r="37" spans="1:26" ht="13.9" customHeight="1" x14ac:dyDescent="0.25">
      <c r="A37" s="8">
        <v>26</v>
      </c>
      <c r="B37" s="42"/>
      <c r="C37" s="42"/>
      <c r="D37" s="42"/>
      <c r="E37" s="20">
        <f t="shared" si="2"/>
        <v>0</v>
      </c>
      <c r="F37" s="20"/>
      <c r="G37" s="20"/>
      <c r="H37" s="19"/>
      <c r="I37" s="9"/>
      <c r="J37" s="9">
        <f t="shared" si="0"/>
        <v>0</v>
      </c>
      <c r="K37" s="87"/>
      <c r="L37" s="87"/>
      <c r="M37" s="87"/>
      <c r="N37" s="5"/>
      <c r="O37" s="5"/>
      <c r="P37" s="50"/>
      <c r="Q37" s="51"/>
      <c r="R37" s="5"/>
      <c r="S37" s="5"/>
      <c r="T37" s="19"/>
      <c r="U37" s="36">
        <f t="shared" si="7"/>
        <v>0</v>
      </c>
      <c r="V37" s="36">
        <f t="shared" si="3"/>
        <v>0</v>
      </c>
      <c r="W37" s="36">
        <f t="shared" si="4"/>
        <v>0</v>
      </c>
      <c r="X37" s="36"/>
      <c r="Y37" s="36">
        <f t="shared" si="5"/>
        <v>0</v>
      </c>
      <c r="Z37" s="36">
        <f t="shared" si="6"/>
        <v>0</v>
      </c>
    </row>
    <row r="38" spans="1:26" ht="13.9" customHeight="1" x14ac:dyDescent="0.25">
      <c r="A38" s="8">
        <v>27</v>
      </c>
      <c r="B38" s="42"/>
      <c r="C38" s="42"/>
      <c r="D38" s="42"/>
      <c r="E38" s="20">
        <f t="shared" si="2"/>
        <v>0</v>
      </c>
      <c r="F38" s="20"/>
      <c r="G38" s="20"/>
      <c r="H38" s="19"/>
      <c r="I38" s="9"/>
      <c r="J38" s="9">
        <f t="shared" si="0"/>
        <v>0</v>
      </c>
      <c r="K38" s="87"/>
      <c r="L38" s="87"/>
      <c r="M38" s="87"/>
      <c r="N38" s="5"/>
      <c r="O38" s="5"/>
      <c r="P38" s="50"/>
      <c r="Q38" s="51"/>
      <c r="R38" s="5"/>
      <c r="S38" s="5"/>
      <c r="T38" s="19"/>
      <c r="U38" s="36">
        <f t="shared" si="7"/>
        <v>0</v>
      </c>
      <c r="V38" s="36">
        <f t="shared" si="3"/>
        <v>0</v>
      </c>
      <c r="W38" s="36">
        <f t="shared" si="4"/>
        <v>0</v>
      </c>
      <c r="X38" s="36"/>
      <c r="Y38" s="36">
        <f t="shared" si="5"/>
        <v>0</v>
      </c>
      <c r="Z38" s="36">
        <f t="shared" si="6"/>
        <v>0</v>
      </c>
    </row>
    <row r="39" spans="1:26" ht="13.9" customHeight="1" x14ac:dyDescent="0.25">
      <c r="A39" s="8">
        <v>28</v>
      </c>
      <c r="B39" s="42"/>
      <c r="C39" s="42"/>
      <c r="D39" s="42"/>
      <c r="E39" s="20">
        <f t="shared" si="2"/>
        <v>0</v>
      </c>
      <c r="F39" s="20"/>
      <c r="G39" s="20"/>
      <c r="H39" s="19"/>
      <c r="I39" s="9"/>
      <c r="J39" s="9">
        <f t="shared" si="0"/>
        <v>0</v>
      </c>
      <c r="K39" s="87"/>
      <c r="L39" s="87"/>
      <c r="M39" s="87"/>
      <c r="N39" s="5"/>
      <c r="O39" s="5"/>
      <c r="P39" s="50"/>
      <c r="Q39" s="51"/>
      <c r="R39" s="5"/>
      <c r="S39" s="5"/>
      <c r="T39" s="19"/>
      <c r="U39" s="36">
        <f t="shared" si="7"/>
        <v>0</v>
      </c>
      <c r="V39" s="36">
        <f t="shared" si="3"/>
        <v>0</v>
      </c>
      <c r="W39" s="36">
        <f t="shared" si="4"/>
        <v>0</v>
      </c>
      <c r="X39" s="36"/>
      <c r="Y39" s="36">
        <f t="shared" si="5"/>
        <v>0</v>
      </c>
      <c r="Z39" s="36">
        <f t="shared" si="6"/>
        <v>0</v>
      </c>
    </row>
    <row r="40" spans="1:26" ht="13.9" customHeight="1" x14ac:dyDescent="0.25">
      <c r="A40" s="8">
        <v>29</v>
      </c>
      <c r="B40" s="42"/>
      <c r="C40" s="42"/>
      <c r="D40" s="42"/>
      <c r="E40" s="20">
        <f t="shared" si="2"/>
        <v>0</v>
      </c>
      <c r="F40" s="20"/>
      <c r="G40" s="20"/>
      <c r="H40" s="19"/>
      <c r="I40" s="9"/>
      <c r="J40" s="9">
        <f t="shared" si="0"/>
        <v>0</v>
      </c>
      <c r="K40" s="87"/>
      <c r="L40" s="87"/>
      <c r="M40" s="87"/>
      <c r="N40" s="5"/>
      <c r="O40" s="5"/>
      <c r="P40" s="50"/>
      <c r="Q40" s="51"/>
      <c r="R40" s="5"/>
      <c r="S40" s="5"/>
      <c r="T40" s="19"/>
      <c r="U40" s="36">
        <f t="shared" si="7"/>
        <v>0</v>
      </c>
      <c r="V40" s="36">
        <f t="shared" si="3"/>
        <v>0</v>
      </c>
      <c r="W40" s="36">
        <f t="shared" si="4"/>
        <v>0</v>
      </c>
      <c r="X40" s="36"/>
      <c r="Y40" s="36">
        <f t="shared" si="5"/>
        <v>0</v>
      </c>
      <c r="Z40" s="36">
        <f t="shared" si="6"/>
        <v>0</v>
      </c>
    </row>
    <row r="41" spans="1:26" ht="13.9" customHeight="1" x14ac:dyDescent="0.25">
      <c r="A41" s="8">
        <v>30</v>
      </c>
      <c r="B41" s="42"/>
      <c r="C41" s="42"/>
      <c r="D41" s="42"/>
      <c r="E41" s="20">
        <f t="shared" si="2"/>
        <v>0</v>
      </c>
      <c r="F41" s="20"/>
      <c r="G41" s="20"/>
      <c r="H41" s="19"/>
      <c r="I41" s="9"/>
      <c r="J41" s="9">
        <f t="shared" si="0"/>
        <v>0</v>
      </c>
      <c r="K41" s="87"/>
      <c r="L41" s="87"/>
      <c r="M41" s="87"/>
      <c r="N41" s="5"/>
      <c r="O41" s="5"/>
      <c r="P41" s="50"/>
      <c r="Q41" s="51"/>
      <c r="R41" s="5"/>
      <c r="S41" s="5"/>
      <c r="T41" s="19"/>
      <c r="U41" s="36">
        <f t="shared" si="7"/>
        <v>0</v>
      </c>
      <c r="V41" s="36">
        <f t="shared" si="3"/>
        <v>0</v>
      </c>
      <c r="W41" s="36">
        <f t="shared" si="4"/>
        <v>0</v>
      </c>
      <c r="X41" s="36"/>
      <c r="Y41" s="36">
        <f t="shared" si="5"/>
        <v>0</v>
      </c>
      <c r="Z41" s="36">
        <f t="shared" si="6"/>
        <v>0</v>
      </c>
    </row>
    <row r="42" spans="1:26" ht="13.9" customHeight="1" x14ac:dyDescent="0.25">
      <c r="A42" s="8">
        <v>31</v>
      </c>
      <c r="B42" s="42"/>
      <c r="C42" s="42"/>
      <c r="D42" s="42"/>
      <c r="E42" s="20">
        <f t="shared" si="2"/>
        <v>0</v>
      </c>
      <c r="F42" s="20"/>
      <c r="G42" s="20"/>
      <c r="H42" s="19"/>
      <c r="I42" s="9"/>
      <c r="J42" s="9">
        <f t="shared" si="0"/>
        <v>0</v>
      </c>
      <c r="K42" s="87"/>
      <c r="L42" s="87"/>
      <c r="M42" s="87"/>
      <c r="N42" s="5"/>
      <c r="O42" s="5"/>
      <c r="P42" s="50"/>
      <c r="Q42" s="51"/>
      <c r="R42" s="5"/>
      <c r="S42" s="5"/>
      <c r="T42" s="19"/>
      <c r="U42" s="36">
        <f t="shared" si="7"/>
        <v>0</v>
      </c>
      <c r="V42" s="36">
        <f t="shared" si="3"/>
        <v>0</v>
      </c>
      <c r="W42" s="36">
        <f t="shared" si="4"/>
        <v>0</v>
      </c>
      <c r="X42" s="36"/>
      <c r="Y42" s="36">
        <f t="shared" si="5"/>
        <v>0</v>
      </c>
      <c r="Z42" s="36">
        <f t="shared" si="6"/>
        <v>0</v>
      </c>
    </row>
    <row r="43" spans="1:26" ht="13.9" customHeight="1" x14ac:dyDescent="0.25">
      <c r="A43" s="8">
        <v>32</v>
      </c>
      <c r="B43" s="42"/>
      <c r="C43" s="42"/>
      <c r="D43" s="42"/>
      <c r="E43" s="20">
        <f t="shared" ref="E43:E66" si="8">ROUNDUP((B43/1000)*(C43/1000)*D43,2)</f>
        <v>0</v>
      </c>
      <c r="F43" s="20"/>
      <c r="G43" s="20"/>
      <c r="H43" s="19"/>
      <c r="I43" s="9"/>
      <c r="J43" s="9">
        <f t="shared" ref="J43:J66" si="9">E43*I43</f>
        <v>0</v>
      </c>
      <c r="K43" s="87"/>
      <c r="L43" s="87"/>
      <c r="M43" s="87"/>
      <c r="N43" s="5"/>
      <c r="O43" s="5"/>
      <c r="P43" s="50"/>
      <c r="Q43" s="51"/>
      <c r="R43" s="5"/>
      <c r="S43" s="5"/>
      <c r="T43" s="19"/>
      <c r="U43" s="36">
        <f t="shared" ref="U43:U50" si="10">IF(F43="выборка",(60),IF(F43="выборка-2ступени",(67),0))</f>
        <v>0</v>
      </c>
      <c r="V43" s="36">
        <f t="shared" ref="V43:V50" si="11">IF(AND((B43 - U43*2-1)&gt;0,U43&gt;0),B43 - U43*2-1,0)</f>
        <v>0</v>
      </c>
      <c r="W43" s="36">
        <f t="shared" ref="W43:W50" si="12">IF(AND((C43 - U43*2-1)&gt;0,U43&gt;0),C43 - U43*2-1,0)</f>
        <v>0</v>
      </c>
      <c r="X43" s="36"/>
      <c r="Y43" s="36">
        <f t="shared" ref="Y43:Y50" si="13">IF(F43="выборка",(B43 - 60*2-1),IF(F43="выборка-2ступени",(B43 - 67*2-1),0))</f>
        <v>0</v>
      </c>
      <c r="Z43" s="36">
        <f t="shared" ref="Z43:Z50" si="14">IF(F43="выборка",(C43 - 60*2-1),IF(F43="выборка-2ступени",(C43 - 67*2-1),0))</f>
        <v>0</v>
      </c>
    </row>
    <row r="44" spans="1:26" ht="13.9" customHeight="1" x14ac:dyDescent="0.25">
      <c r="A44" s="8">
        <v>33</v>
      </c>
      <c r="B44" s="42"/>
      <c r="C44" s="42"/>
      <c r="D44" s="42"/>
      <c r="E44" s="20">
        <f t="shared" si="8"/>
        <v>0</v>
      </c>
      <c r="F44" s="20"/>
      <c r="G44" s="20"/>
      <c r="H44" s="19"/>
      <c r="I44" s="9"/>
      <c r="J44" s="9">
        <f t="shared" si="9"/>
        <v>0</v>
      </c>
      <c r="K44" s="87"/>
      <c r="L44" s="87"/>
      <c r="M44" s="87"/>
      <c r="N44" s="5"/>
      <c r="O44" s="5"/>
      <c r="P44" s="50"/>
      <c r="Q44" s="51"/>
      <c r="R44" s="5"/>
      <c r="S44" s="5"/>
      <c r="T44" s="19"/>
      <c r="U44" s="36">
        <f t="shared" si="10"/>
        <v>0</v>
      </c>
      <c r="V44" s="36">
        <f t="shared" si="11"/>
        <v>0</v>
      </c>
      <c r="W44" s="36">
        <f t="shared" si="12"/>
        <v>0</v>
      </c>
      <c r="X44" s="36"/>
      <c r="Y44" s="36">
        <f t="shared" si="13"/>
        <v>0</v>
      </c>
      <c r="Z44" s="36">
        <f t="shared" si="14"/>
        <v>0</v>
      </c>
    </row>
    <row r="45" spans="1:26" ht="13.9" customHeight="1" x14ac:dyDescent="0.25">
      <c r="A45" s="8">
        <v>34</v>
      </c>
      <c r="B45" s="42"/>
      <c r="C45" s="42"/>
      <c r="D45" s="42"/>
      <c r="E45" s="20">
        <f t="shared" si="8"/>
        <v>0</v>
      </c>
      <c r="F45" s="20"/>
      <c r="G45" s="20"/>
      <c r="H45" s="19"/>
      <c r="I45" s="9"/>
      <c r="J45" s="9">
        <f t="shared" si="9"/>
        <v>0</v>
      </c>
      <c r="K45" s="87"/>
      <c r="L45" s="87"/>
      <c r="M45" s="87"/>
      <c r="N45" s="5"/>
      <c r="O45" s="5"/>
      <c r="P45" s="50"/>
      <c r="Q45" s="51"/>
      <c r="R45" s="5"/>
      <c r="S45" s="5"/>
      <c r="T45" s="19"/>
      <c r="U45" s="36">
        <f t="shared" si="10"/>
        <v>0</v>
      </c>
      <c r="V45" s="36">
        <f t="shared" si="11"/>
        <v>0</v>
      </c>
      <c r="W45" s="36">
        <f t="shared" si="12"/>
        <v>0</v>
      </c>
      <c r="X45" s="36"/>
      <c r="Y45" s="36">
        <f t="shared" si="13"/>
        <v>0</v>
      </c>
      <c r="Z45" s="36">
        <f t="shared" si="14"/>
        <v>0</v>
      </c>
    </row>
    <row r="46" spans="1:26" ht="13.9" customHeight="1" x14ac:dyDescent="0.25">
      <c r="A46" s="8">
        <v>35</v>
      </c>
      <c r="B46" s="42"/>
      <c r="C46" s="42"/>
      <c r="D46" s="42"/>
      <c r="E46" s="20">
        <f t="shared" si="8"/>
        <v>0</v>
      </c>
      <c r="F46" s="20"/>
      <c r="G46" s="20"/>
      <c r="H46" s="19"/>
      <c r="I46" s="9"/>
      <c r="J46" s="9">
        <f t="shared" si="9"/>
        <v>0</v>
      </c>
      <c r="K46" s="87"/>
      <c r="L46" s="87"/>
      <c r="M46" s="87"/>
      <c r="N46" s="5"/>
      <c r="O46" s="5"/>
      <c r="P46" s="50"/>
      <c r="Q46" s="51"/>
      <c r="R46" s="5"/>
      <c r="S46" s="5"/>
      <c r="T46" s="19"/>
      <c r="U46" s="36">
        <f t="shared" si="10"/>
        <v>0</v>
      </c>
      <c r="V46" s="36">
        <f t="shared" si="11"/>
        <v>0</v>
      </c>
      <c r="W46" s="36">
        <f t="shared" si="12"/>
        <v>0</v>
      </c>
      <c r="X46" s="36"/>
      <c r="Y46" s="36">
        <f t="shared" si="13"/>
        <v>0</v>
      </c>
      <c r="Z46" s="36">
        <f t="shared" si="14"/>
        <v>0</v>
      </c>
    </row>
    <row r="47" spans="1:26" ht="13.9" customHeight="1" x14ac:dyDescent="0.25">
      <c r="A47" s="8">
        <v>36</v>
      </c>
      <c r="B47" s="42"/>
      <c r="C47" s="42"/>
      <c r="D47" s="42"/>
      <c r="E47" s="20">
        <f t="shared" si="8"/>
        <v>0</v>
      </c>
      <c r="F47" s="20"/>
      <c r="G47" s="20"/>
      <c r="H47" s="19"/>
      <c r="I47" s="9"/>
      <c r="J47" s="9">
        <f t="shared" si="9"/>
        <v>0</v>
      </c>
      <c r="K47" s="87"/>
      <c r="L47" s="87"/>
      <c r="M47" s="87"/>
      <c r="N47" s="5"/>
      <c r="O47" s="5"/>
      <c r="P47" s="50"/>
      <c r="Q47" s="51"/>
      <c r="R47" s="5"/>
      <c r="S47" s="5"/>
      <c r="T47" s="19"/>
      <c r="U47" s="36">
        <f t="shared" si="10"/>
        <v>0</v>
      </c>
      <c r="V47" s="36">
        <f t="shared" si="11"/>
        <v>0</v>
      </c>
      <c r="W47" s="36">
        <f t="shared" si="12"/>
        <v>0</v>
      </c>
      <c r="X47" s="36"/>
      <c r="Y47" s="36">
        <f t="shared" si="13"/>
        <v>0</v>
      </c>
      <c r="Z47" s="36">
        <f t="shared" si="14"/>
        <v>0</v>
      </c>
    </row>
    <row r="48" spans="1:26" ht="13.9" customHeight="1" x14ac:dyDescent="0.25">
      <c r="A48" s="8">
        <v>37</v>
      </c>
      <c r="B48" s="42"/>
      <c r="C48" s="42"/>
      <c r="D48" s="42"/>
      <c r="E48" s="20">
        <f t="shared" si="8"/>
        <v>0</v>
      </c>
      <c r="F48" s="20"/>
      <c r="G48" s="20"/>
      <c r="H48" s="19"/>
      <c r="I48" s="9"/>
      <c r="J48" s="9">
        <f t="shared" si="9"/>
        <v>0</v>
      </c>
      <c r="K48" s="87"/>
      <c r="L48" s="87"/>
      <c r="M48" s="87"/>
      <c r="N48" s="5"/>
      <c r="O48" s="5"/>
      <c r="P48" s="50"/>
      <c r="Q48" s="51"/>
      <c r="R48" s="5"/>
      <c r="S48" s="5"/>
      <c r="T48" s="19"/>
      <c r="U48" s="36">
        <f t="shared" si="10"/>
        <v>0</v>
      </c>
      <c r="V48" s="36">
        <f t="shared" si="11"/>
        <v>0</v>
      </c>
      <c r="W48" s="36">
        <f t="shared" si="12"/>
        <v>0</v>
      </c>
      <c r="X48" s="36"/>
      <c r="Y48" s="36">
        <f t="shared" si="13"/>
        <v>0</v>
      </c>
      <c r="Z48" s="36">
        <f t="shared" si="14"/>
        <v>0</v>
      </c>
    </row>
    <row r="49" spans="1:26" ht="13.9" customHeight="1" x14ac:dyDescent="0.25">
      <c r="A49" s="8">
        <v>38</v>
      </c>
      <c r="B49" s="42"/>
      <c r="C49" s="42"/>
      <c r="D49" s="42"/>
      <c r="E49" s="20">
        <f t="shared" si="8"/>
        <v>0</v>
      </c>
      <c r="F49" s="20"/>
      <c r="G49" s="20"/>
      <c r="H49" s="19"/>
      <c r="I49" s="9"/>
      <c r="J49" s="9">
        <f t="shared" si="9"/>
        <v>0</v>
      </c>
      <c r="K49" s="87"/>
      <c r="L49" s="87"/>
      <c r="M49" s="87"/>
      <c r="N49" s="5"/>
      <c r="O49" s="5"/>
      <c r="P49" s="50"/>
      <c r="Q49" s="51"/>
      <c r="R49" s="5"/>
      <c r="S49" s="5"/>
      <c r="T49" s="19"/>
      <c r="U49" s="36">
        <f t="shared" si="10"/>
        <v>0</v>
      </c>
      <c r="V49" s="36">
        <f t="shared" si="11"/>
        <v>0</v>
      </c>
      <c r="W49" s="36">
        <f t="shared" si="12"/>
        <v>0</v>
      </c>
      <c r="X49" s="36"/>
      <c r="Y49" s="36">
        <f t="shared" si="13"/>
        <v>0</v>
      </c>
      <c r="Z49" s="36">
        <f t="shared" si="14"/>
        <v>0</v>
      </c>
    </row>
    <row r="50" spans="1:26" ht="13.9" customHeight="1" x14ac:dyDescent="0.25">
      <c r="A50" s="8">
        <v>39</v>
      </c>
      <c r="B50" s="42"/>
      <c r="C50" s="42"/>
      <c r="D50" s="42"/>
      <c r="E50" s="20">
        <f t="shared" si="8"/>
        <v>0</v>
      </c>
      <c r="F50" s="20"/>
      <c r="G50" s="20"/>
      <c r="H50" s="19"/>
      <c r="I50" s="9"/>
      <c r="J50" s="9">
        <f t="shared" si="9"/>
        <v>0</v>
      </c>
      <c r="K50" s="87"/>
      <c r="L50" s="87"/>
      <c r="M50" s="87"/>
      <c r="N50" s="5"/>
      <c r="O50" s="5"/>
      <c r="P50" s="50"/>
      <c r="Q50" s="51"/>
      <c r="R50" s="5"/>
      <c r="S50" s="5"/>
      <c r="T50" s="19"/>
      <c r="U50" s="36">
        <f t="shared" si="10"/>
        <v>0</v>
      </c>
      <c r="V50" s="36">
        <f t="shared" si="11"/>
        <v>0</v>
      </c>
      <c r="W50" s="36">
        <f t="shared" si="12"/>
        <v>0</v>
      </c>
      <c r="X50" s="36"/>
      <c r="Y50" s="36">
        <f t="shared" si="13"/>
        <v>0</v>
      </c>
      <c r="Z50" s="36">
        <f t="shared" si="14"/>
        <v>0</v>
      </c>
    </row>
    <row r="51" spans="1:26" ht="13.9" customHeight="1" x14ac:dyDescent="0.25">
      <c r="A51" s="8">
        <v>40</v>
      </c>
      <c r="B51" s="42"/>
      <c r="C51" s="42"/>
      <c r="D51" s="42"/>
      <c r="E51" s="20">
        <f t="shared" si="8"/>
        <v>0</v>
      </c>
      <c r="F51" s="20"/>
      <c r="G51" s="20"/>
      <c r="H51" s="19"/>
      <c r="I51" s="9"/>
      <c r="J51" s="9">
        <f t="shared" si="9"/>
        <v>0</v>
      </c>
      <c r="K51" s="121"/>
      <c r="L51" s="128"/>
      <c r="M51" s="129"/>
      <c r="N51" s="5"/>
      <c r="O51" s="5"/>
      <c r="P51" s="50"/>
      <c r="Q51" s="51"/>
      <c r="R51" s="5"/>
      <c r="S51" s="5"/>
      <c r="T51" s="19"/>
      <c r="U51" s="36" t="e">
        <f>IF(#REF!="выборка",(60),IF(#REF!="выборка-2ступени",(67),0))</f>
        <v>#REF!</v>
      </c>
      <c r="V51" s="36" t="e">
        <f>IF(AND((#REF! - U51*2-1)&gt;0,U51&gt;0),#REF! - U51*2-1,0)</f>
        <v>#REF!</v>
      </c>
      <c r="W51" s="36" t="e">
        <f>IF(AND((#REF! - U51*2-1)&gt;0,U51&gt;0),#REF! - U51*2-1,0)</f>
        <v>#REF!</v>
      </c>
      <c r="X51" s="36"/>
      <c r="Y51" s="36" t="e">
        <f>IF(#REF!="выборка",(#REF! - 60*2-1),IF(#REF!="выборка-2ступени",(#REF! - 67*2-1),0))</f>
        <v>#REF!</v>
      </c>
      <c r="Z51" s="36" t="e">
        <f>IF(#REF!="выборка",(#REF! - 60*2-1),IF(#REF!="выборка-2ступени",(#REF! - 67*2-1),0))</f>
        <v>#REF!</v>
      </c>
    </row>
    <row r="52" spans="1:26" ht="11.25" customHeight="1" x14ac:dyDescent="0.25">
      <c r="A52" s="8">
        <v>41</v>
      </c>
      <c r="B52" s="42"/>
      <c r="C52" s="42"/>
      <c r="D52" s="42"/>
      <c r="E52" s="20">
        <f t="shared" si="8"/>
        <v>0</v>
      </c>
      <c r="F52" s="20"/>
      <c r="G52" s="20"/>
      <c r="H52" s="19"/>
      <c r="I52" s="9"/>
      <c r="J52" s="9">
        <f t="shared" si="9"/>
        <v>0</v>
      </c>
      <c r="K52" s="121"/>
      <c r="L52" s="128"/>
      <c r="M52" s="129"/>
      <c r="P52" s="50"/>
      <c r="Q52" s="52"/>
      <c r="T52" s="19"/>
      <c r="U52" s="36">
        <f>IF(F67="выборка",(60),IF(F67="выборка-2ступени",(67),0))</f>
        <v>0</v>
      </c>
      <c r="V52" s="36">
        <f>IF(AND((B67 - U52*2-1)&gt;0,U52&gt;0),B67 - U52*2-1,0)</f>
        <v>0</v>
      </c>
      <c r="W52" s="36">
        <f>IF(AND((C67 - U52*2-1)&gt;0,U52&gt;0),C67 - U52*2-1,0)</f>
        <v>0</v>
      </c>
      <c r="X52" s="36"/>
      <c r="Y52" s="36">
        <f>IF(F67="выборка",(B67 - 60*2-1),IF(F67="выборка-2ступени",(B67 - 67*2-1),0))</f>
        <v>0</v>
      </c>
      <c r="Z52" s="36">
        <f>IF(F67="выборка",(C67 - 60*2-1),IF(F67="выборка-2ступени",(C67 - 67*2-1),0))</f>
        <v>0</v>
      </c>
    </row>
    <row r="53" spans="1:26" ht="11.45" customHeight="1" x14ac:dyDescent="0.25">
      <c r="A53" s="8">
        <v>42</v>
      </c>
      <c r="B53" s="42"/>
      <c r="C53" s="42"/>
      <c r="D53" s="42"/>
      <c r="E53" s="20">
        <f t="shared" si="8"/>
        <v>0</v>
      </c>
      <c r="F53" s="20"/>
      <c r="G53" s="20"/>
      <c r="H53" s="19"/>
      <c r="I53" s="9"/>
      <c r="J53" s="9">
        <f t="shared" si="9"/>
        <v>0</v>
      </c>
      <c r="K53" s="121"/>
      <c r="L53" s="128"/>
      <c r="M53" s="129"/>
      <c r="P53" s="50"/>
      <c r="Q53" s="52"/>
    </row>
    <row r="54" spans="1:26" ht="11.45" customHeight="1" x14ac:dyDescent="0.25">
      <c r="A54" s="8">
        <v>43</v>
      </c>
      <c r="B54" s="42"/>
      <c r="C54" s="42"/>
      <c r="D54" s="42"/>
      <c r="E54" s="20">
        <f t="shared" si="8"/>
        <v>0</v>
      </c>
      <c r="F54" s="20"/>
      <c r="G54" s="20"/>
      <c r="H54" s="19"/>
      <c r="I54" s="9"/>
      <c r="J54" s="9">
        <f t="shared" si="9"/>
        <v>0</v>
      </c>
      <c r="K54" s="121"/>
      <c r="L54" s="128"/>
      <c r="M54" s="129"/>
      <c r="N54" s="41"/>
      <c r="O54" s="41"/>
      <c r="P54" s="53"/>
      <c r="Q54" s="54"/>
      <c r="R54" s="41"/>
      <c r="S54" s="41"/>
      <c r="T54" s="41"/>
    </row>
    <row r="55" spans="1:26" ht="11.45" customHeight="1" x14ac:dyDescent="0.25">
      <c r="A55" s="8">
        <v>44</v>
      </c>
      <c r="B55" s="42"/>
      <c r="C55" s="42"/>
      <c r="D55" s="42"/>
      <c r="E55" s="20">
        <f t="shared" si="8"/>
        <v>0</v>
      </c>
      <c r="F55" s="20"/>
      <c r="G55" s="20"/>
      <c r="H55" s="19"/>
      <c r="I55" s="9"/>
      <c r="J55" s="9">
        <f t="shared" si="9"/>
        <v>0</v>
      </c>
      <c r="K55" s="121"/>
      <c r="L55" s="128"/>
      <c r="M55" s="129"/>
      <c r="N55" s="41"/>
      <c r="O55" s="41"/>
      <c r="P55" s="53"/>
      <c r="Q55" s="54"/>
      <c r="R55" s="41"/>
      <c r="S55" s="41"/>
      <c r="T55" s="41"/>
    </row>
    <row r="56" spans="1:26" ht="12" customHeight="1" x14ac:dyDescent="0.25">
      <c r="A56" s="8">
        <v>45</v>
      </c>
      <c r="B56" s="42"/>
      <c r="C56" s="42"/>
      <c r="D56" s="42"/>
      <c r="E56" s="20">
        <f t="shared" si="8"/>
        <v>0</v>
      </c>
      <c r="F56" s="20"/>
      <c r="G56" s="20"/>
      <c r="H56" s="19"/>
      <c r="I56" s="9"/>
      <c r="J56" s="9">
        <f t="shared" si="9"/>
        <v>0</v>
      </c>
      <c r="K56" s="121"/>
      <c r="L56" s="128"/>
      <c r="M56" s="129"/>
      <c r="N56" s="2"/>
      <c r="O56" s="2"/>
      <c r="P56" s="55"/>
      <c r="Q56" s="56"/>
      <c r="R56" s="2"/>
      <c r="S56" s="2"/>
      <c r="T56" s="2"/>
    </row>
    <row r="57" spans="1:26" ht="12" customHeight="1" x14ac:dyDescent="0.25">
      <c r="A57" s="8">
        <v>46</v>
      </c>
      <c r="B57" s="42"/>
      <c r="C57" s="42"/>
      <c r="D57" s="42"/>
      <c r="E57" s="20">
        <f t="shared" si="8"/>
        <v>0</v>
      </c>
      <c r="F57" s="20"/>
      <c r="G57" s="20"/>
      <c r="H57" s="19"/>
      <c r="I57" s="9"/>
      <c r="J57" s="9">
        <f t="shared" si="9"/>
        <v>0</v>
      </c>
      <c r="K57" s="121"/>
      <c r="L57" s="128"/>
      <c r="M57" s="129"/>
      <c r="P57" s="50"/>
      <c r="Q57" s="52"/>
    </row>
    <row r="58" spans="1:26" ht="12" customHeight="1" x14ac:dyDescent="0.25">
      <c r="A58" s="8">
        <v>47</v>
      </c>
      <c r="B58" s="42"/>
      <c r="C58" s="42"/>
      <c r="D58" s="42"/>
      <c r="E58" s="20">
        <f t="shared" si="8"/>
        <v>0</v>
      </c>
      <c r="F58" s="20"/>
      <c r="G58" s="20"/>
      <c r="H58" s="19"/>
      <c r="I58" s="9"/>
      <c r="J58" s="9">
        <f t="shared" si="9"/>
        <v>0</v>
      </c>
      <c r="K58" s="121"/>
      <c r="L58" s="128"/>
      <c r="M58" s="129"/>
    </row>
    <row r="59" spans="1:26" ht="12" customHeight="1" x14ac:dyDescent="0.25">
      <c r="A59" s="8">
        <v>48</v>
      </c>
      <c r="B59" s="42"/>
      <c r="C59" s="42"/>
      <c r="D59" s="42"/>
      <c r="E59" s="20">
        <f t="shared" si="8"/>
        <v>0</v>
      </c>
      <c r="F59" s="20"/>
      <c r="G59" s="20"/>
      <c r="H59" s="19"/>
      <c r="I59" s="9"/>
      <c r="J59" s="9">
        <f t="shared" si="9"/>
        <v>0</v>
      </c>
      <c r="K59" s="121"/>
      <c r="L59" s="128"/>
      <c r="M59" s="129"/>
      <c r="N59"/>
      <c r="O59"/>
      <c r="P59"/>
      <c r="Q59" s="47"/>
      <c r="R59"/>
      <c r="S59"/>
      <c r="T59"/>
      <c r="U59"/>
      <c r="V59"/>
      <c r="W59"/>
      <c r="X59"/>
      <c r="Y59"/>
    </row>
    <row r="60" spans="1:26" ht="12" customHeight="1" x14ac:dyDescent="0.25">
      <c r="A60" s="8">
        <v>49</v>
      </c>
      <c r="B60" s="42"/>
      <c r="C60" s="42"/>
      <c r="D60" s="42"/>
      <c r="E60" s="20">
        <f t="shared" si="8"/>
        <v>0</v>
      </c>
      <c r="F60" s="20"/>
      <c r="G60" s="20"/>
      <c r="H60" s="19"/>
      <c r="I60" s="9"/>
      <c r="J60" s="9">
        <f t="shared" si="9"/>
        <v>0</v>
      </c>
      <c r="K60" s="121"/>
      <c r="L60" s="128"/>
      <c r="M60" s="129"/>
      <c r="N60"/>
      <c r="O60"/>
      <c r="P60"/>
      <c r="Q60" s="47"/>
      <c r="R60"/>
      <c r="S60"/>
      <c r="T60"/>
      <c r="U60"/>
      <c r="V60"/>
      <c r="W60"/>
      <c r="X60"/>
      <c r="Y60"/>
    </row>
    <row r="61" spans="1:26" ht="12" customHeight="1" x14ac:dyDescent="0.25">
      <c r="A61" s="8">
        <v>50</v>
      </c>
      <c r="B61" s="42"/>
      <c r="C61" s="42"/>
      <c r="D61" s="42"/>
      <c r="E61" s="20">
        <f t="shared" si="8"/>
        <v>0</v>
      </c>
      <c r="F61" s="20"/>
      <c r="G61" s="20"/>
      <c r="H61" s="19"/>
      <c r="I61" s="9"/>
      <c r="J61" s="9">
        <f t="shared" si="9"/>
        <v>0</v>
      </c>
      <c r="K61" s="121"/>
      <c r="L61" s="128"/>
      <c r="M61" s="129"/>
      <c r="N61"/>
      <c r="O61"/>
      <c r="P61"/>
      <c r="Q61" s="47"/>
      <c r="R61"/>
      <c r="S61"/>
      <c r="T61"/>
      <c r="U61"/>
      <c r="V61"/>
      <c r="W61"/>
      <c r="X61"/>
      <c r="Y61"/>
    </row>
    <row r="62" spans="1:26" ht="12" customHeight="1" x14ac:dyDescent="0.25">
      <c r="A62" s="8">
        <v>51</v>
      </c>
      <c r="B62" s="42"/>
      <c r="C62" s="42"/>
      <c r="D62" s="42"/>
      <c r="E62" s="20">
        <f t="shared" si="8"/>
        <v>0</v>
      </c>
      <c r="F62" s="20"/>
      <c r="G62" s="20"/>
      <c r="H62" s="19"/>
      <c r="I62" s="9"/>
      <c r="J62" s="9">
        <f t="shared" si="9"/>
        <v>0</v>
      </c>
      <c r="K62" s="121"/>
      <c r="L62" s="128"/>
      <c r="M62" s="129"/>
      <c r="N62"/>
      <c r="O62"/>
      <c r="P62"/>
      <c r="Q62" s="47"/>
      <c r="R62"/>
      <c r="S62"/>
      <c r="T62"/>
      <c r="U62"/>
      <c r="V62"/>
      <c r="W62"/>
      <c r="X62"/>
      <c r="Y62"/>
    </row>
    <row r="63" spans="1:26" ht="12" customHeight="1" x14ac:dyDescent="0.25">
      <c r="A63" s="8">
        <v>52</v>
      </c>
      <c r="B63" s="42"/>
      <c r="C63" s="42"/>
      <c r="D63" s="42"/>
      <c r="E63" s="20">
        <f t="shared" si="8"/>
        <v>0</v>
      </c>
      <c r="F63" s="20"/>
      <c r="G63" s="20"/>
      <c r="H63" s="19"/>
      <c r="I63" s="9"/>
      <c r="J63" s="9">
        <f t="shared" si="9"/>
        <v>0</v>
      </c>
      <c r="K63" s="121"/>
      <c r="L63" s="128"/>
      <c r="M63" s="129"/>
      <c r="N63"/>
      <c r="O63"/>
      <c r="P63"/>
      <c r="Q63" s="47"/>
      <c r="R63"/>
      <c r="S63"/>
      <c r="T63"/>
      <c r="U63"/>
      <c r="V63"/>
      <c r="W63"/>
      <c r="X63"/>
      <c r="Y63"/>
    </row>
    <row r="64" spans="1:26" ht="12" customHeight="1" x14ac:dyDescent="0.25">
      <c r="A64" s="8">
        <v>53</v>
      </c>
      <c r="B64" s="42"/>
      <c r="C64" s="42"/>
      <c r="D64" s="42"/>
      <c r="E64" s="20">
        <f t="shared" si="8"/>
        <v>0</v>
      </c>
      <c r="F64" s="20"/>
      <c r="G64" s="20"/>
      <c r="H64" s="19"/>
      <c r="I64" s="9"/>
      <c r="J64" s="9">
        <f t="shared" si="9"/>
        <v>0</v>
      </c>
      <c r="K64" s="121"/>
      <c r="L64" s="128"/>
      <c r="M64" s="129"/>
      <c r="N64"/>
      <c r="O64"/>
      <c r="P64"/>
      <c r="Q64" s="47"/>
      <c r="R64"/>
      <c r="S64"/>
      <c r="T64"/>
      <c r="U64"/>
      <c r="V64"/>
      <c r="W64"/>
      <c r="X64"/>
      <c r="Y64"/>
    </row>
    <row r="65" spans="1:25" ht="12" customHeight="1" x14ac:dyDescent="0.25">
      <c r="A65" s="8">
        <v>54</v>
      </c>
      <c r="B65" s="42"/>
      <c r="C65" s="42"/>
      <c r="D65" s="42"/>
      <c r="E65" s="20">
        <f t="shared" si="8"/>
        <v>0</v>
      </c>
      <c r="F65" s="20"/>
      <c r="G65" s="20"/>
      <c r="H65" s="19"/>
      <c r="I65" s="9"/>
      <c r="J65" s="9">
        <f t="shared" si="9"/>
        <v>0</v>
      </c>
      <c r="K65" s="121"/>
      <c r="L65" s="128"/>
      <c r="M65" s="129"/>
      <c r="N65"/>
      <c r="O65"/>
      <c r="P65"/>
      <c r="Q65" s="47"/>
      <c r="R65"/>
      <c r="S65"/>
      <c r="T65"/>
      <c r="U65"/>
      <c r="V65"/>
      <c r="W65"/>
      <c r="X65"/>
      <c r="Y65"/>
    </row>
    <row r="66" spans="1:25" ht="12" customHeight="1" x14ac:dyDescent="0.25">
      <c r="A66" s="8">
        <v>55</v>
      </c>
      <c r="B66" s="42"/>
      <c r="C66" s="42"/>
      <c r="D66" s="42"/>
      <c r="E66" s="20">
        <f t="shared" si="8"/>
        <v>0</v>
      </c>
      <c r="F66" s="20"/>
      <c r="G66" s="20"/>
      <c r="H66" s="19"/>
      <c r="I66" s="9"/>
      <c r="J66" s="9">
        <f t="shared" si="9"/>
        <v>0</v>
      </c>
      <c r="K66" s="121"/>
      <c r="L66" s="128"/>
      <c r="M66" s="129"/>
      <c r="N66"/>
      <c r="O66"/>
      <c r="P66"/>
      <c r="Q66" s="47"/>
      <c r="R66"/>
      <c r="S66"/>
      <c r="T66"/>
      <c r="U66"/>
      <c r="V66"/>
      <c r="W66"/>
      <c r="X66"/>
      <c r="Y66"/>
    </row>
    <row r="67" spans="1:25" x14ac:dyDescent="0.25">
      <c r="N67"/>
      <c r="O67"/>
      <c r="P67"/>
      <c r="Q67" s="47"/>
      <c r="R67"/>
      <c r="S67"/>
      <c r="T67"/>
      <c r="U67"/>
      <c r="V67"/>
      <c r="W67"/>
      <c r="X67"/>
      <c r="Y67"/>
    </row>
    <row r="68" spans="1:25" x14ac:dyDescent="0.25">
      <c r="A68" s="80" t="s">
        <v>14</v>
      </c>
      <c r="B68" s="80"/>
      <c r="C68" s="80"/>
      <c r="D68" s="80"/>
      <c r="E68" s="80"/>
      <c r="F68" s="80"/>
      <c r="G68" s="80"/>
      <c r="H68" s="80"/>
      <c r="I68" s="4" t="s">
        <v>15</v>
      </c>
      <c r="N68"/>
      <c r="O68"/>
      <c r="P68"/>
      <c r="Q68" s="47"/>
      <c r="R68"/>
      <c r="S68"/>
      <c r="T68"/>
      <c r="U68"/>
      <c r="V68"/>
      <c r="W68"/>
      <c r="X68"/>
      <c r="Y68"/>
    </row>
    <row r="69" spans="1:25" x14ac:dyDescent="0.25">
      <c r="A69" s="80"/>
      <c r="B69" s="80"/>
      <c r="C69" s="80"/>
      <c r="D69" s="80"/>
      <c r="E69" s="80"/>
      <c r="F69" s="80"/>
      <c r="G69" s="80"/>
      <c r="H69" s="80"/>
      <c r="I69" s="3"/>
      <c r="J69" s="7"/>
      <c r="K69" s="7"/>
      <c r="L69" s="7"/>
      <c r="M69" s="7"/>
      <c r="N69"/>
      <c r="O69"/>
      <c r="P69"/>
      <c r="Q69" s="47"/>
      <c r="R69"/>
      <c r="S69"/>
      <c r="T69"/>
      <c r="U69"/>
      <c r="V69"/>
      <c r="W69"/>
      <c r="X69"/>
      <c r="Y69"/>
    </row>
    <row r="70" spans="1:25" x14ac:dyDescent="0.25">
      <c r="A70" s="83" t="s">
        <v>103</v>
      </c>
      <c r="B70" s="83"/>
      <c r="C70" s="83"/>
      <c r="D70" s="83"/>
      <c r="E70" s="83"/>
      <c r="F70" s="83"/>
      <c r="G70" s="83"/>
      <c r="H70" s="83"/>
      <c r="I70" s="83"/>
      <c r="J70" s="41"/>
      <c r="K70" s="41"/>
      <c r="L70" s="41"/>
      <c r="M70" s="41"/>
      <c r="N70"/>
      <c r="O70"/>
      <c r="P70"/>
      <c r="Q70" s="47"/>
      <c r="R70"/>
      <c r="S70"/>
      <c r="T70"/>
      <c r="U70"/>
      <c r="V70"/>
      <c r="W70"/>
      <c r="X70"/>
      <c r="Y70"/>
    </row>
    <row r="71" spans="1:25" x14ac:dyDescent="0.25">
      <c r="A71" s="80" t="s">
        <v>19</v>
      </c>
      <c r="B71" s="80"/>
      <c r="C71" s="80"/>
      <c r="D71" s="80"/>
      <c r="E71" s="80"/>
      <c r="F71" s="80"/>
      <c r="G71" s="80"/>
      <c r="H71" s="80"/>
      <c r="I71" s="5" t="s">
        <v>16</v>
      </c>
      <c r="J71" s="3"/>
      <c r="K71" s="3"/>
      <c r="L71" s="2"/>
      <c r="M71" s="2"/>
      <c r="N71"/>
      <c r="O71"/>
      <c r="P71"/>
      <c r="Q71" s="47"/>
      <c r="R71"/>
      <c r="S71"/>
      <c r="T71"/>
      <c r="U71"/>
      <c r="V71"/>
      <c r="W71"/>
      <c r="X71"/>
      <c r="Y71"/>
    </row>
    <row r="72" spans="1:25" x14ac:dyDescent="0.25">
      <c r="A72" s="80"/>
      <c r="B72" s="80"/>
      <c r="C72" s="80"/>
      <c r="D72" s="80"/>
      <c r="E72" s="80"/>
      <c r="F72" s="80"/>
      <c r="G72" s="80"/>
      <c r="H72" s="80"/>
      <c r="J72" s="6"/>
      <c r="K72" s="6"/>
      <c r="N72"/>
      <c r="O72"/>
      <c r="P72"/>
      <c r="Q72" s="47"/>
      <c r="R72"/>
      <c r="S72"/>
      <c r="T72"/>
      <c r="U72"/>
      <c r="V72"/>
      <c r="W72"/>
      <c r="X72"/>
      <c r="Y72"/>
    </row>
    <row r="73" spans="1:25" x14ac:dyDescent="0.25">
      <c r="K73" s="2"/>
      <c r="L73" s="2"/>
      <c r="N73"/>
      <c r="O73"/>
      <c r="P73"/>
      <c r="Q73" s="47"/>
      <c r="R73"/>
      <c r="S73"/>
      <c r="T73"/>
      <c r="U73"/>
      <c r="V73"/>
      <c r="W73"/>
      <c r="X73"/>
      <c r="Y73"/>
    </row>
    <row r="74" spans="1:2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 s="47"/>
      <c r="R74"/>
      <c r="S74"/>
      <c r="T74"/>
      <c r="U74"/>
      <c r="V74"/>
      <c r="W74"/>
      <c r="X74"/>
      <c r="Y74"/>
    </row>
    <row r="75" spans="1:2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 s="47"/>
      <c r="R75"/>
      <c r="S75"/>
      <c r="T75"/>
      <c r="U75"/>
      <c r="V75"/>
      <c r="W75"/>
      <c r="X75"/>
      <c r="Y75"/>
    </row>
    <row r="76" spans="1:2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 s="47"/>
      <c r="R76"/>
      <c r="S76"/>
      <c r="T76"/>
      <c r="U76"/>
      <c r="V76"/>
      <c r="W76"/>
      <c r="X76"/>
      <c r="Y76"/>
    </row>
    <row r="77" spans="1:2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 s="47"/>
      <c r="R77"/>
      <c r="S77"/>
      <c r="T77"/>
      <c r="U77"/>
      <c r="V77"/>
      <c r="W77"/>
      <c r="X77"/>
      <c r="Y77"/>
    </row>
    <row r="78" spans="1:2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 s="47"/>
      <c r="R78"/>
      <c r="S78"/>
      <c r="T78"/>
      <c r="U78"/>
      <c r="V78"/>
      <c r="W78"/>
      <c r="X78"/>
      <c r="Y78"/>
    </row>
    <row r="79" spans="1:2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 s="47"/>
      <c r="R79"/>
      <c r="S79"/>
      <c r="T79"/>
      <c r="U79"/>
      <c r="V79"/>
      <c r="W79"/>
      <c r="X79"/>
      <c r="Y79"/>
    </row>
    <row r="80" spans="1:2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 s="47"/>
      <c r="R80"/>
      <c r="S80"/>
      <c r="T80"/>
      <c r="U80"/>
      <c r="V80"/>
      <c r="W80"/>
      <c r="X80"/>
      <c r="Y80"/>
    </row>
    <row r="81" spans="1:2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 s="47"/>
      <c r="R81"/>
      <c r="S81"/>
      <c r="T81"/>
      <c r="U81"/>
      <c r="V81"/>
      <c r="W81"/>
      <c r="X81"/>
      <c r="Y81"/>
    </row>
    <row r="82" spans="1:25" x14ac:dyDescent="0.25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25" x14ac:dyDescent="0.25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25" x14ac:dyDescent="0.25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25" x14ac:dyDescent="0.25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25" x14ac:dyDescent="0.25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25" x14ac:dyDescent="0.25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25" x14ac:dyDescent="0.25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25" x14ac:dyDescent="0.25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25" x14ac:dyDescent="0.25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25" x14ac:dyDescent="0.25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25" x14ac:dyDescent="0.25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25" x14ac:dyDescent="0.25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25" x14ac:dyDescent="0.25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25" x14ac:dyDescent="0.25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25" x14ac:dyDescent="0.25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x14ac:dyDescent="0.25">
      <c r="A97"/>
      <c r="B97"/>
      <c r="C97"/>
      <c r="D97"/>
      <c r="E97"/>
      <c r="F97"/>
      <c r="G97"/>
      <c r="H97"/>
      <c r="I97"/>
      <c r="J97"/>
      <c r="K97"/>
      <c r="L97"/>
      <c r="M97"/>
    </row>
  </sheetData>
  <dataConsolidate/>
  <mergeCells count="93">
    <mergeCell ref="K66:M66"/>
    <mergeCell ref="K51:M51"/>
    <mergeCell ref="K52:M52"/>
    <mergeCell ref="K53:M53"/>
    <mergeCell ref="K54:M54"/>
    <mergeCell ref="K55:M55"/>
    <mergeCell ref="K56:M56"/>
    <mergeCell ref="K62:M62"/>
    <mergeCell ref="K63:M63"/>
    <mergeCell ref="K64:M64"/>
    <mergeCell ref="K65:M65"/>
    <mergeCell ref="K57:M57"/>
    <mergeCell ref="K58:M58"/>
    <mergeCell ref="K59:M59"/>
    <mergeCell ref="K60:M60"/>
    <mergeCell ref="K61:M61"/>
    <mergeCell ref="K48:M48"/>
    <mergeCell ref="K49:M49"/>
    <mergeCell ref="K50:M50"/>
    <mergeCell ref="K43:M43"/>
    <mergeCell ref="K44:M44"/>
    <mergeCell ref="K45:M45"/>
    <mergeCell ref="K46:M46"/>
    <mergeCell ref="K47:M47"/>
    <mergeCell ref="Y3:AA4"/>
    <mergeCell ref="K41:M41"/>
    <mergeCell ref="K42:M42"/>
    <mergeCell ref="K39:M39"/>
    <mergeCell ref="K30:M30"/>
    <mergeCell ref="K40:M40"/>
    <mergeCell ref="K31:M31"/>
    <mergeCell ref="K32:M32"/>
    <mergeCell ref="K33:M33"/>
    <mergeCell ref="K34:M34"/>
    <mergeCell ref="K35:M35"/>
    <mergeCell ref="K36:M36"/>
    <mergeCell ref="K37:M37"/>
    <mergeCell ref="K38:M38"/>
    <mergeCell ref="K27:M27"/>
    <mergeCell ref="K28:M28"/>
    <mergeCell ref="K25:M25"/>
    <mergeCell ref="K29:M29"/>
    <mergeCell ref="H8:I9"/>
    <mergeCell ref="O4:O5"/>
    <mergeCell ref="H4:I4"/>
    <mergeCell ref="K17:M17"/>
    <mergeCell ref="U9:U10"/>
    <mergeCell ref="K12:M12"/>
    <mergeCell ref="K19:M19"/>
    <mergeCell ref="K26:M26"/>
    <mergeCell ref="K11:M11"/>
    <mergeCell ref="K24:M24"/>
    <mergeCell ref="K22:M22"/>
    <mergeCell ref="K23:M23"/>
    <mergeCell ref="L8:L9"/>
    <mergeCell ref="M8:M9"/>
    <mergeCell ref="K20:M20"/>
    <mergeCell ref="K21:M21"/>
    <mergeCell ref="K13:M13"/>
    <mergeCell ref="K14:M14"/>
    <mergeCell ref="K15:M15"/>
    <mergeCell ref="K16:M16"/>
    <mergeCell ref="L1:M1"/>
    <mergeCell ref="E1:I1"/>
    <mergeCell ref="E2:I3"/>
    <mergeCell ref="J4:J5"/>
    <mergeCell ref="K4:M5"/>
    <mergeCell ref="J1:K1"/>
    <mergeCell ref="L2:M3"/>
    <mergeCell ref="J2:K3"/>
    <mergeCell ref="P4:P5"/>
    <mergeCell ref="Q4:Q5"/>
    <mergeCell ref="K18:M18"/>
    <mergeCell ref="K6:M7"/>
    <mergeCell ref="A4:C4"/>
    <mergeCell ref="A5:C7"/>
    <mergeCell ref="J8:J9"/>
    <mergeCell ref="A8:B9"/>
    <mergeCell ref="F8:F9"/>
    <mergeCell ref="D4:E4"/>
    <mergeCell ref="F4:G4"/>
    <mergeCell ref="H5:H7"/>
    <mergeCell ref="I5:I7"/>
    <mergeCell ref="D5:E7"/>
    <mergeCell ref="F5:G7"/>
    <mergeCell ref="K8:K9"/>
    <mergeCell ref="C8:E9"/>
    <mergeCell ref="J6:J7"/>
    <mergeCell ref="A71:H72"/>
    <mergeCell ref="A68:H69"/>
    <mergeCell ref="D2:D3"/>
    <mergeCell ref="C1:C3"/>
    <mergeCell ref="A70:I70"/>
  </mergeCells>
  <phoneticPr fontId="25" type="noConversion"/>
  <dataValidations count="6">
    <dataValidation type="list" errorStyle="warning" allowBlank="1" sqref="A5:C7" xr:uid="{00000000-0002-0000-0000-000000000000}">
      <formula1>тип_детали</formula1>
    </dataValidation>
    <dataValidation type="list" allowBlank="1" showInputMessage="1" showErrorMessage="1" sqref="D5:E7 G12:G66" xr:uid="{00000000-0002-0000-0000-000001000000}">
      <formula1>обкат</formula1>
    </dataValidation>
    <dataValidation type="list" allowBlank="1" showInputMessage="1" showErrorMessage="1" sqref="F5:G7" xr:uid="{00000000-0002-0000-0000-000002000000}">
      <formula1>пленка</formula1>
    </dataValidation>
    <dataValidation type="list" allowBlank="1" showInputMessage="1" showErrorMessage="1" sqref="I12:I66" xr:uid="{00000000-0002-0000-0000-000003000000}">
      <formula1>цена_кв_м</formula1>
    </dataValidation>
    <dataValidation type="list" allowBlank="1" sqref="F12:F66" xr:uid="{00000000-0002-0000-0000-000004000000}">
      <formula1>тип_детали</formula1>
    </dataValidation>
    <dataValidation type="list" allowBlank="1" sqref="H12:H66" xr:uid="{00000000-0002-0000-0000-000005000000}">
      <formula1>пленка</formula1>
    </dataValidation>
  </dataValidations>
  <printOptions horizontalCentered="1"/>
  <pageMargins left="0.23622047244094491" right="0.23622047244094491" top="0.62992125984251968" bottom="0.35433070866141736" header="3.937007874015748E-2" footer="0.31496062992125984"/>
  <pageSetup paperSize="9" scale="81" orientation="portrait" r:id="rId1"/>
  <headerFooter>
    <oddHeader>&amp;RНаши телефоны:&amp;K00+000___&amp;K01+000
8 701 032 4646, 8 777 032 4646&amp;K00+000___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G34"/>
  <sheetViews>
    <sheetView workbookViewId="0">
      <selection activeCell="G18" sqref="G18"/>
    </sheetView>
  </sheetViews>
  <sheetFormatPr defaultRowHeight="15" x14ac:dyDescent="0.25"/>
  <cols>
    <col min="1" max="1" width="19.28515625" bestFit="1" customWidth="1"/>
    <col min="5" max="5" width="27.42578125" bestFit="1" customWidth="1"/>
    <col min="7" max="7" width="17.7109375" customWidth="1"/>
  </cols>
  <sheetData>
    <row r="1" spans="1:7" s="24" customFormat="1" x14ac:dyDescent="0.25">
      <c r="A1" s="18" t="s">
        <v>6</v>
      </c>
      <c r="C1" s="75" t="s">
        <v>36</v>
      </c>
      <c r="E1" s="75" t="s">
        <v>38</v>
      </c>
      <c r="G1" s="29"/>
    </row>
    <row r="2" spans="1:7" x14ac:dyDescent="0.25">
      <c r="A2" s="27" t="s">
        <v>24</v>
      </c>
      <c r="C2" s="28" t="s">
        <v>82</v>
      </c>
      <c r="E2" s="28" t="s">
        <v>22</v>
      </c>
      <c r="G2" s="30"/>
    </row>
    <row r="3" spans="1:7" x14ac:dyDescent="0.25">
      <c r="A3" s="27" t="s">
        <v>40</v>
      </c>
      <c r="C3" s="28" t="s">
        <v>83</v>
      </c>
      <c r="E3" s="28" t="s">
        <v>41</v>
      </c>
      <c r="G3" s="31"/>
    </row>
    <row r="4" spans="1:7" x14ac:dyDescent="0.25">
      <c r="A4" s="27" t="s">
        <v>89</v>
      </c>
      <c r="C4" s="28" t="s">
        <v>84</v>
      </c>
      <c r="E4" s="28" t="s">
        <v>42</v>
      </c>
      <c r="G4" s="31"/>
    </row>
    <row r="5" spans="1:7" x14ac:dyDescent="0.25">
      <c r="A5" s="27" t="s">
        <v>90</v>
      </c>
      <c r="C5" s="28" t="s">
        <v>37</v>
      </c>
      <c r="E5" s="28" t="s">
        <v>43</v>
      </c>
      <c r="G5" s="31"/>
    </row>
    <row r="6" spans="1:7" x14ac:dyDescent="0.25">
      <c r="A6" s="27" t="s">
        <v>34</v>
      </c>
      <c r="E6" s="28" t="s">
        <v>46</v>
      </c>
      <c r="G6" s="32"/>
    </row>
    <row r="7" spans="1:7" x14ac:dyDescent="0.25">
      <c r="A7" s="27" t="s">
        <v>25</v>
      </c>
      <c r="E7" s="28" t="s">
        <v>47</v>
      </c>
      <c r="G7" s="32"/>
    </row>
    <row r="8" spans="1:7" x14ac:dyDescent="0.25">
      <c r="A8" s="27" t="s">
        <v>26</v>
      </c>
      <c r="E8" s="28" t="s">
        <v>48</v>
      </c>
      <c r="G8" s="31"/>
    </row>
    <row r="9" spans="1:7" x14ac:dyDescent="0.25">
      <c r="A9" s="27" t="s">
        <v>27</v>
      </c>
      <c r="E9" s="28" t="s">
        <v>49</v>
      </c>
      <c r="G9" s="31"/>
    </row>
    <row r="10" spans="1:7" x14ac:dyDescent="0.25">
      <c r="A10" s="27" t="s">
        <v>28</v>
      </c>
      <c r="E10" s="28" t="s">
        <v>50</v>
      </c>
      <c r="G10" s="31"/>
    </row>
    <row r="11" spans="1:7" x14ac:dyDescent="0.25">
      <c r="A11" s="27" t="s">
        <v>30</v>
      </c>
      <c r="E11" s="26" t="s">
        <v>51</v>
      </c>
      <c r="G11" s="32"/>
    </row>
    <row r="12" spans="1:7" x14ac:dyDescent="0.25">
      <c r="A12" s="27" t="s">
        <v>31</v>
      </c>
      <c r="E12" s="28" t="s">
        <v>56</v>
      </c>
      <c r="G12" s="25"/>
    </row>
    <row r="13" spans="1:7" x14ac:dyDescent="0.25">
      <c r="A13" s="27" t="s">
        <v>23</v>
      </c>
      <c r="E13" s="28" t="s">
        <v>57</v>
      </c>
      <c r="G13" s="25"/>
    </row>
    <row r="14" spans="1:7" x14ac:dyDescent="0.25">
      <c r="A14" s="27" t="s">
        <v>32</v>
      </c>
      <c r="E14" s="28" t="s">
        <v>58</v>
      </c>
      <c r="G14" s="25"/>
    </row>
    <row r="15" spans="1:7" x14ac:dyDescent="0.25">
      <c r="A15" s="27" t="s">
        <v>33</v>
      </c>
      <c r="E15" s="28" t="s">
        <v>59</v>
      </c>
      <c r="G15" s="25"/>
    </row>
    <row r="16" spans="1:7" x14ac:dyDescent="0.25">
      <c r="A16" s="27" t="s">
        <v>35</v>
      </c>
      <c r="E16" s="28" t="s">
        <v>70</v>
      </c>
      <c r="G16" s="25"/>
    </row>
    <row r="17" spans="1:7" x14ac:dyDescent="0.25">
      <c r="A17" s="27" t="s">
        <v>39</v>
      </c>
      <c r="E17" s="26" t="s">
        <v>60</v>
      </c>
      <c r="G17" s="25"/>
    </row>
    <row r="18" spans="1:7" x14ac:dyDescent="0.25">
      <c r="A18" s="27" t="s">
        <v>29</v>
      </c>
      <c r="E18" s="26" t="s">
        <v>61</v>
      </c>
      <c r="G18" s="25"/>
    </row>
    <row r="19" spans="1:7" x14ac:dyDescent="0.25">
      <c r="A19" s="27" t="s">
        <v>44</v>
      </c>
      <c r="E19" s="26" t="s">
        <v>63</v>
      </c>
      <c r="G19" s="25"/>
    </row>
    <row r="20" spans="1:7" x14ac:dyDescent="0.25">
      <c r="A20" s="27" t="s">
        <v>45</v>
      </c>
      <c r="E20" s="26" t="s">
        <v>64</v>
      </c>
      <c r="G20" s="25"/>
    </row>
    <row r="21" spans="1:7" x14ac:dyDescent="0.25">
      <c r="A21" s="27" t="s">
        <v>62</v>
      </c>
      <c r="E21" s="26" t="s">
        <v>65</v>
      </c>
      <c r="G21" s="25"/>
    </row>
    <row r="22" spans="1:7" x14ac:dyDescent="0.25">
      <c r="A22" s="43" t="s">
        <v>88</v>
      </c>
      <c r="E22" s="26" t="s">
        <v>66</v>
      </c>
    </row>
    <row r="23" spans="1:7" x14ac:dyDescent="0.25">
      <c r="A23" s="27" t="s">
        <v>91</v>
      </c>
      <c r="E23" s="26" t="s">
        <v>67</v>
      </c>
    </row>
    <row r="24" spans="1:7" x14ac:dyDescent="0.25">
      <c r="A24" s="27" t="s">
        <v>92</v>
      </c>
      <c r="E24" s="26" t="s">
        <v>68</v>
      </c>
    </row>
    <row r="25" spans="1:7" x14ac:dyDescent="0.25">
      <c r="A25" s="27" t="s">
        <v>93</v>
      </c>
      <c r="E25" s="26" t="s">
        <v>69</v>
      </c>
    </row>
    <row r="26" spans="1:7" x14ac:dyDescent="0.25">
      <c r="A26" s="27" t="s">
        <v>94</v>
      </c>
      <c r="E26" s="26" t="s">
        <v>71</v>
      </c>
    </row>
    <row r="27" spans="1:7" x14ac:dyDescent="0.25">
      <c r="A27" s="43" t="s">
        <v>97</v>
      </c>
      <c r="E27" s="26" t="s">
        <v>72</v>
      </c>
    </row>
    <row r="28" spans="1:7" x14ac:dyDescent="0.25">
      <c r="A28" s="43" t="s">
        <v>102</v>
      </c>
      <c r="E28" s="26" t="s">
        <v>73</v>
      </c>
    </row>
    <row r="29" spans="1:7" x14ac:dyDescent="0.25">
      <c r="E29" s="26" t="s">
        <v>74</v>
      </c>
    </row>
    <row r="30" spans="1:7" x14ac:dyDescent="0.25">
      <c r="E30" s="26" t="s">
        <v>75</v>
      </c>
    </row>
    <row r="31" spans="1:7" x14ac:dyDescent="0.25">
      <c r="E31" s="26" t="s">
        <v>76</v>
      </c>
    </row>
    <row r="32" spans="1:7" x14ac:dyDescent="0.25">
      <c r="E32" s="26" t="s">
        <v>77</v>
      </c>
    </row>
    <row r="33" spans="5:5" x14ac:dyDescent="0.25">
      <c r="E33" s="26" t="s">
        <v>78</v>
      </c>
    </row>
    <row r="34" spans="5:5" x14ac:dyDescent="0.25">
      <c r="E34" s="28" t="s">
        <v>79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7</vt:i4>
      </vt:variant>
    </vt:vector>
  </HeadingPairs>
  <TitlesOfParts>
    <vt:vector size="10" baseType="lpstr">
      <vt:lpstr>Заказ</vt:lpstr>
      <vt:lpstr>Списки</vt:lpstr>
      <vt:lpstr>Лист3</vt:lpstr>
      <vt:lpstr>МДФ</vt:lpstr>
      <vt:lpstr>обкат</vt:lpstr>
      <vt:lpstr>Заказ!Область_печати</vt:lpstr>
      <vt:lpstr>пленка</vt:lpstr>
      <vt:lpstr>тип_детали</vt:lpstr>
      <vt:lpstr>фасад</vt:lpstr>
      <vt:lpstr>фрезеровка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Адэлия</dc:creator>
  <cp:lastModifiedBy>dmina</cp:lastModifiedBy>
  <cp:lastPrinted>2025-01-07T07:49:29Z</cp:lastPrinted>
  <dcterms:created xsi:type="dcterms:W3CDTF">2015-07-29T11:18:14Z</dcterms:created>
  <dcterms:modified xsi:type="dcterms:W3CDTF">2025-12-08T16:39:49Z</dcterms:modified>
</cp:coreProperties>
</file>